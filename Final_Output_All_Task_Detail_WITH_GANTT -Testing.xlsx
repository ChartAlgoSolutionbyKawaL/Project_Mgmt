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awal\Downloads\"/>
    </mc:Choice>
  </mc:AlternateContent>
  <xr:revisionPtr revIDLastSave="0" documentId="13_ncr:1_{73DCDB08-32DC-4ADE-AD81-DA1D79249264}" xr6:coauthVersionLast="47" xr6:coauthVersionMax="47" xr10:uidLastSave="{00000000-0000-0000-0000-000000000000}"/>
  <bookViews>
    <workbookView xWindow="-108" yWindow="-108" windowWidth="23256" windowHeight="12456" tabRatio="500" xr2:uid="{00000000-000D-0000-FFFF-FFFF00000000}"/>
  </bookViews>
  <sheets>
    <sheet name="All Tasks Detail" sheetId="1" r:id="rId1"/>
  </sheets>
  <definedNames>
    <definedName name="_xlnm.Print_Area" localSheetId="0">'All Tasks Detail'!$A$1:$P$56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3" i="1" l="1"/>
  <c r="Q62" i="1"/>
  <c r="Q61" i="1"/>
  <c r="Q60" i="1"/>
  <c r="Q59" i="1"/>
  <c r="Q58" i="1"/>
  <c r="Q57" i="1"/>
  <c r="Q56" i="1"/>
  <c r="Q42" i="1"/>
  <c r="Q41" i="1"/>
  <c r="Q40" i="1"/>
  <c r="Q39" i="1"/>
  <c r="Q38" i="1"/>
  <c r="Q37" i="1"/>
  <c r="Q36" i="1"/>
  <c r="Q35" i="1"/>
  <c r="Q34" i="1"/>
  <c r="Q33" i="1"/>
  <c r="Q32" i="1"/>
  <c r="Q31" i="1"/>
  <c r="Q30" i="1"/>
  <c r="Q29" i="1"/>
  <c r="Q28" i="1"/>
  <c r="Q27" i="1"/>
  <c r="Q26" i="1"/>
  <c r="Q25" i="1"/>
  <c r="Q24" i="1"/>
  <c r="Q23" i="1"/>
  <c r="Q22" i="1"/>
  <c r="Q45" i="1"/>
  <c r="Q52" i="1"/>
  <c r="Q55" i="1"/>
  <c r="Q21" i="1"/>
  <c r="Q20" i="1"/>
  <c r="Q51" i="1"/>
  <c r="Q50" i="1"/>
  <c r="Q49" i="1"/>
  <c r="Q48" i="1"/>
  <c r="Q47" i="1"/>
  <c r="Q54" i="1"/>
  <c r="Q53" i="1"/>
  <c r="Q46" i="1"/>
  <c r="Q44" i="1"/>
  <c r="Q43" i="1"/>
  <c r="Q19" i="1"/>
  <c r="Q18" i="1"/>
  <c r="Q17" i="1"/>
  <c r="Q16" i="1"/>
  <c r="Q15" i="1"/>
  <c r="Q14" i="1"/>
  <c r="Q13" i="1"/>
  <c r="Q12" i="1"/>
  <c r="Q11" i="1"/>
  <c r="Q10" i="1"/>
  <c r="Q9" i="1"/>
  <c r="Q8" i="1"/>
  <c r="Q7" i="1"/>
  <c r="Q6" i="1"/>
  <c r="Q5" i="1"/>
  <c r="Q4" i="1"/>
</calcChain>
</file>

<file path=xl/sharedStrings.xml><?xml version="1.0" encoding="utf-8"?>
<sst xmlns="http://schemas.openxmlformats.org/spreadsheetml/2006/main" count="647" uniqueCount="230">
  <si>
    <t>Nimble Project  ·  ALL TASKS DETAIL  (MASTER DATA TABLE)</t>
  </si>
  <si>
    <t>Edit this sheet to add/update tasks. Every other sheet (Dashboard, Gantt Chart) reads from this table automatically. See "How To Update" sheet for steps.</t>
  </si>
  <si>
    <t>Project</t>
  </si>
  <si>
    <t>Business</t>
  </si>
  <si>
    <t>Phase</t>
  </si>
  <si>
    <t>Activity / Task</t>
  </si>
  <si>
    <t>Detailed Task</t>
  </si>
  <si>
    <t>Remark if pending</t>
  </si>
  <si>
    <t>Owner</t>
  </si>
  <si>
    <t>Priority</t>
  </si>
  <si>
    <t>Start Date</t>
  </si>
  <si>
    <t>End Date</t>
  </si>
  <si>
    <t>Duration</t>
  </si>
  <si>
    <t>% Done</t>
  </si>
  <si>
    <t>Status</t>
  </si>
  <si>
    <t>Risk Level</t>
  </si>
  <si>
    <t>Notes</t>
  </si>
  <si>
    <t>RankScore (helper)</t>
  </si>
  <si>
    <t>Covenant</t>
  </si>
  <si>
    <t>Consumer</t>
  </si>
  <si>
    <t>Data Gathering</t>
  </si>
  <si>
    <t>Closing Data Collection</t>
  </si>
  <si>
    <t>• Received first closing data file along with business logic for Consumer covering all 5 Covenant types: SS, DP, SI, SA and Churn.
• Data validated and handed to BI team to read via LLM and convert into the final Covenant data input source stored in the S3 source folder.</t>
  </si>
  <si>
    <t>Kawal+Pramit</t>
  </si>
  <si>
    <t>High</t>
  </si>
  <si>
    <t>Completed</t>
  </si>
  <si>
    <t>Low</t>
  </si>
  <si>
    <t>Foundational data source for all downstream Consumer ETL work.</t>
  </si>
  <si>
    <t>Closing Data Format Standardisation — All Business</t>
  </si>
  <si>
    <t>• Closing data format differs across business units, so the original reading logic could not be reused as-is.
• Format and logic redesign initiated with Santanu to support multi-business variations going forward.</t>
  </si>
  <si>
    <t>New development for the multi-format reader is still in progress; awaiting finalised format samples from remaining business units.</t>
  </si>
  <si>
    <t>Santanu+Kawal</t>
  </si>
  <si>
    <t>On Track</t>
  </si>
  <si>
    <t>Medium</t>
  </si>
  <si>
    <t>Blocking dependency for ABG/RBG/SME/WBG/ARD onboarding into Covenant.</t>
  </si>
  <si>
    <t>Stock Statement / DP Formula / Drop Sheet — Logic Discussion</t>
  </si>
  <si>
    <t>• Held data discussion with business to finalise the correct logic and format for Stock Statements, DP Formula and Drop Sheet inputs.</t>
  </si>
  <si>
    <t>Kawal</t>
  </si>
  <si>
    <t>Logic confirmed and used as base for DP Formula Query master file.</t>
  </si>
  <si>
    <t>Stock Insurance — Data Collection</t>
  </si>
  <si>
    <t>• Stock Insurance data received from business.</t>
  </si>
  <si>
    <t>Business logic on how to read and apply this data within the system is still pending; cannot proceed to ETL/UI integration until logic is confirmed.</t>
  </si>
  <si>
    <t>Not Started</t>
  </si>
  <si>
    <t>Awaiting business sign-off on Insurance read logic.</t>
  </si>
  <si>
    <t>Stock Audit — Data Collection</t>
  </si>
  <si>
    <t>• Stock Audit data received from business.</t>
  </si>
  <si>
    <t>Same dependency pattern as Stock Insurance; can be run in parallel once logic received.</t>
  </si>
  <si>
    <t>Data Engineering</t>
  </si>
  <si>
    <t>Redshift Data Structure Setup</t>
  </si>
  <si>
    <t>• Created STG, FCT and Historical tables in Redshift for Consumer Covenant data.</t>
  </si>
  <si>
    <t>Smita+Kawal</t>
  </si>
  <si>
    <t>Base structure for all downstream ETL pipelines.</t>
  </si>
  <si>
    <t>ETL Build — Excel &amp; JSON Sources</t>
  </si>
  <si>
    <t>• Built ETL pipelines for each data file covering STG load, STG-to-FCT transformation, and FCT-to-History archival.</t>
  </si>
  <si>
    <t>Covers all three data layers for Consumer Covenant ingestion.</t>
  </si>
  <si>
    <t>Daily Status Table — ETL Build</t>
  </si>
  <si>
    <t>• Built ETL jobs (Excel &amp; JSON) to populate the Daily Status tracking table.</t>
  </si>
  <si>
    <t>Feeds the daily case-status visibility used by business and ops.</t>
  </si>
  <si>
    <t>ETL Job Scheduler Setup</t>
  </si>
  <si>
    <t>• All ETL jobs registered and sequenced in the job scheduler for automated runs.</t>
  </si>
  <si>
    <t>Smita</t>
  </si>
  <si>
    <t>Enables unattended daily execution of the full Consumer ETL chain.</t>
  </si>
  <si>
    <t>UAT</t>
  </si>
  <si>
    <t>UAT Postgres Data Structure Setup</t>
  </si>
  <si>
    <t>• Created STG, FCT and Historical tables in the UAT Postgres environment.</t>
  </si>
  <si>
    <t>Mirrors Redshift structure for UAT-side testing.</t>
  </si>
  <si>
    <t>UAT Postgres</t>
  </si>
  <si>
    <t>• Validated ETL file-upload checks: filename pattern, date format, column count, and numeric-to-text conversions.
• Inserted manual test data across all UAT tables to validate UI behaviour and the LLM-based reminder flow.</t>
  </si>
  <si>
    <t>No major defects found; sign-off basis for Live promotion.</t>
  </si>
  <si>
    <t>UAT Postgres - Data Structure Setup</t>
  </si>
  <si>
    <t>• Created STG, FCT and Historical tables in the Live Postgres environment.</t>
  </si>
  <si>
    <t>Promoted from UAT structure after sign-off.</t>
  </si>
  <si>
    <t>Production Postgres</t>
  </si>
  <si>
    <t>• End-to-end validation of the Consumer flow on the Live Postgres environment.</t>
  </si>
  <si>
    <t>Testing not yet started on Live; queued behind Live structure setup completion and dependent on a stable data feed.</t>
  </si>
  <si>
    <t>At Risk</t>
  </si>
  <si>
    <t>Needs to complete before Consumer can be declared fully Live.</t>
  </si>
  <si>
    <t>DP Formula Query — Master File Build</t>
  </si>
  <si>
    <t>• Built the DP query calculation logic based on the raw formula and Tanmay's reference output.</t>
  </si>
  <si>
    <t>Tanmay+Smita</t>
  </si>
  <si>
    <t>Master file is the single source of truth for DP value calculations.</t>
  </si>
  <si>
    <t>FCT &amp; History Table Restructure</t>
  </si>
  <si>
    <t>• Rebuilt FCT and FCT-History table structures per Pramit's revised design: FCT now uses append-only writes, FCT-History uses delete-and-update, and the DIM layer was removed.</t>
  </si>
  <si>
    <t>Smita+Pramit</t>
  </si>
  <si>
    <t>Simplifies downstream querying and removes a redundant DIM layer.</t>
  </si>
  <si>
    <t>Daily Status Table Restructure</t>
  </si>
  <si>
    <t>• Updated the Daily Status table structure per Pramit's revised design and implemented the change end-to-end.</t>
  </si>
  <si>
    <t>Aligned with the FCT/History restructure for consistency.</t>
  </si>
  <si>
    <t>OCR API</t>
  </si>
  <si>
    <t>All Business</t>
  </si>
  <si>
    <t>Mapping &amp; Templates</t>
  </si>
  <si>
    <t>Multi-Business Excel Mapping</t>
  </si>
  <si>
    <t>• Mapped Stock Statement Excel formats across all business units and finalised a consistent mapping approach.</t>
  </si>
  <si>
    <t>Mapping forms the basis for all subsequent JSON template work.</t>
  </si>
  <si>
    <t>JSON Template Creation</t>
  </si>
  <si>
    <t>• Created 2 sample JSON templates per business unit for the API development team, establishing the framework for API output structure.</t>
  </si>
  <si>
    <t>Used by the API team as the build reference for each business unit.</t>
  </si>
  <si>
    <t>API Rollout</t>
  </si>
  <si>
    <t>API — Shared &amp; Tested</t>
  </si>
  <si>
    <t>• Tested the Consumer API independently using Postman.
• Trained the business team to use Postman for testing and to log feedback in JSON form for the API team to consume.</t>
  </si>
  <si>
    <t>Kawal+Tanmay</t>
  </si>
  <si>
    <t>Established the feedback-loop process later reused for SME.</t>
  </si>
  <si>
    <t>SME</t>
  </si>
  <si>
    <t>• Tested the SME API independently using Postman.
• Trained the business team on the same Postman testing and JSON feedback logging process used for Consumer.</t>
  </si>
  <si>
    <t>Reused the Consumer rollout process for consistency.</t>
  </si>
  <si>
    <t>• Held a meeting with the API team to resolve feedback after the original API team changed; SME accuracy had dropped to 0%.</t>
  </si>
  <si>
    <t>Critical accuracy regression triggered the team change discussed below.</t>
  </si>
  <si>
    <t>New API Team Onboarding</t>
  </si>
  <si>
    <t>• Priya S. and Kajal onboarded as the new API development team.
• They shared a revised Consumer API; full project context and requirements were explained to them.</t>
  </si>
  <si>
    <t>Replaces the previous API team referenced in the feedback resolution meeting.</t>
  </si>
  <si>
    <t>Universal JSON Format Finalisation</t>
  </si>
  <si>
    <t>• Previous API logic was business-specific; new team adopted our earlier proposal of a single universal JSON template for all business units.
• Shared the common ABG and Consumer JSON template as the reference; team returned a universal API covering both.</t>
  </si>
  <si>
    <t>Major simplification — removes the need for business-specific API variants.</t>
  </si>
  <si>
    <t>OCR Table Mapping</t>
  </si>
  <si>
    <t>31-Table OCR Mapping — stg_ocr_SS</t>
  </si>
  <si>
    <t>• Mapped all 31 OCR source tables into the final stg_ocr_SS structure (Excel-based working mapping).</t>
  </si>
  <si>
    <t>First stage of the 31-table consolidation pipeline.</t>
  </si>
  <si>
    <t>31-Table OCR Mapping — Fct_manual_OCR_SS</t>
  </si>
  <si>
    <t>• Mapped the finalised stg_ocr_SS structure into Fct_manual_OCR_SS (Excel-based working mapping).</t>
  </si>
  <si>
    <t>Second stage; feeds directly into the final ETL build.</t>
  </si>
  <si>
    <t>Final ETL — 31-Table Consolidation</t>
  </si>
  <si>
    <t>• Built the final ETL to consolidate all 31 OCR tables into a single production OCR table.</t>
  </si>
  <si>
    <t>Completes the OCR table consolidation pipeline end-to-end.</t>
  </si>
  <si>
    <t>OCR &amp; Manual Table Testing</t>
  </si>
  <si>
    <t>Daily Status Table Testing — Combined OCR/Manual Source</t>
  </si>
  <si>
    <t>• Validating that Fct_Manual_OCR_Table correctly receives data from both OCR and Manual sources, and testing the Daily Status table query against the combined feed.</t>
  </si>
  <si>
    <t>Final validation step before the combined feed goes fully live.</t>
  </si>
  <si>
    <t>Process Enhancement</t>
  </si>
  <si>
    <t>DP Case Raise / Auto-Close Logic — SS_NA Handling</t>
  </si>
  <si>
    <t>• Added new column f_dp_calculated (Y/N/NA) to the final fct_manual_ocr_table for Pooja to update via API; API is triggered automatically after ETL job success.
• Built the job scheduler step that chains ETL success to the API call, enabling cases to be raised for manually uploaded DP data and auto-closed for records already marked SS_NA (skipping the SS_review case).</t>
  </si>
  <si>
    <t>Smita+Pooja</t>
  </si>
  <si>
    <t>Reduces manual case handling for the SS_NA exception path.</t>
  </si>
  <si>
    <t>ABG</t>
  </si>
  <si>
    <t xml:space="preserve"> API — Shared</t>
  </si>
  <si>
    <t>• Universal Consumer &amp; ABG API received from the API team and shared internally.</t>
  </si>
  <si>
    <t>Tanmay</t>
  </si>
  <si>
    <t>Extends the universal JSON format to ABG.</t>
  </si>
  <si>
    <t>Stakeholder Demo</t>
  </si>
  <si>
    <t>API Team Demo — OCR UI Walkthrough</t>
  </si>
  <si>
    <t>• Walked the API team through the Nimble Project overview and the OCR PDF UI screen.
• Key meeting outcomes: ageing-bucket quantity can be unified to a single field across all buckets; unwanted columns should be removed for better performance; and going forward we should track how many human-modified fields exist post-API in the OCR table to measure best accuracy.</t>
  </si>
  <si>
    <t>Kawal+Pooja+Paresh</t>
  </si>
  <si>
    <t>Action items feed directly into the Future Enhancement Accuracy task below.</t>
  </si>
  <si>
    <t>Future Enhancement Roadmap</t>
  </si>
  <si>
    <t>Field-Level Accuracy Tracking — Future Enhancement</t>
  </si>
  <si>
    <t>• Proposal to track which fields are modified by humans after API extraction, in order to build an accuracy benchmark and drive future enhancement.</t>
  </si>
  <si>
    <t>Not yet scheduled — this is a forward-looking enhancement pending prioritisation against the current OCR API roadmap.</t>
  </si>
  <si>
    <t>Santanu</t>
  </si>
  <si>
    <t>Direct follow-on from the API Team Demo meeting outcomes.</t>
  </si>
  <si>
    <t>Stock Statement Collection &amp; Consolidation</t>
  </si>
  <si>
    <t>• 3 Stock Statement templates received from business in template form (not consolidated).
• Building an automation tool to consolidate the template-form data into a single working sheet for downstream ETL.</t>
  </si>
  <si>
    <t>3 Stock Statement templates received from business, but data arrives in template form; an automation tool to consolidate it into one working sheet is in progress.</t>
  </si>
  <si>
    <t>Same multi-template consolidation pattern being applied across SME/WBG/ARD/ABG/RBG.</t>
  </si>
  <si>
    <t>DP Formula / Drop Sheet</t>
  </si>
  <si>
    <t>• DP Formula and Drop Sheet data requested from business.</t>
  </si>
  <si>
    <t>Data not yet received from SME business team; follow-up required to unblock logic discussion.</t>
  </si>
  <si>
    <t>Blocks the DP query logic work until source data is received.</t>
  </si>
  <si>
    <t>Stock / Collateral Insurance</t>
  </si>
  <si>
    <t>• Stock / Collateral Insurance data collection not yet started for SME.</t>
  </si>
  <si>
    <t>Logic and format for this data type are still pending understanding with business; cannot schedule data collection until clarified.</t>
  </si>
  <si>
    <t>Same logic-clarification dependency seen for Consumer Stock Insurance.</t>
  </si>
  <si>
    <t>Stock Audit</t>
  </si>
  <si>
    <t>• Stock Audit data collection not yet started for SME.</t>
  </si>
  <si>
    <t>Can run in parallel with Stock/Collateral Insurance once logic is confirmed.</t>
  </si>
  <si>
    <t>WBG</t>
  </si>
  <si>
    <t>• 4 Stock Statement templates received from business in template form (not consolidated).
• Building an automation tool to consolidate the template-form data into a single working sheet for downstream ETL.</t>
  </si>
  <si>
    <t>4 Stock Statement templates received from business, but data arrives in template form; an automation tool to consolidate it into one working sheet is in progress.</t>
  </si>
  <si>
    <t>Data not yet received from WBG business team; follow-up required to unblock logic discussion.</t>
  </si>
  <si>
    <t>• Stock / Collateral Insurance data collection not yet started for WBG.</t>
  </si>
  <si>
    <t>• Stock Audit data collection not yet started for WBG.</t>
  </si>
  <si>
    <t>ARD</t>
  </si>
  <si>
    <t>• 1 sample Stock Statement template received from business in template form (not consolidated).
• Building an automation tool to consolidate the template-form data into a single working sheet for downstream ETL.</t>
  </si>
  <si>
    <t>1 sample Stock Statement template received from business, but data arrives in template form; an automation tool to consolidate it into one working sheet is in progress.</t>
  </si>
  <si>
    <t>• DP Formula and Drop Sheet data received from business.</t>
  </si>
  <si>
    <t>Ahead of the other business units — ARD is the only one with this data in hand.</t>
  </si>
  <si>
    <t>• Stock / Collateral Insurance data collection not yet started for ARD.</t>
  </si>
  <si>
    <t>• Stock Audit data collection not yet started for ARD.</t>
  </si>
  <si>
    <t>• Stock Statement data collection not yet started; source system is Dolphin.
• Building an automation tool to consolidate the template-form data into a single working sheet for downstream ETL.</t>
  </si>
  <si>
    <t>Stock Statement data is pending from business (Dolphin system).</t>
  </si>
  <si>
    <t>Data not yet received from ABG business team; follow-up required to unblock logic discussion.</t>
  </si>
  <si>
    <t>• Stock / Collateral Insurance data collection not yet started for ABG.</t>
  </si>
  <si>
    <t>• Stock Audit data collection not yet started for ABG.</t>
  </si>
  <si>
    <t>RBG</t>
  </si>
  <si>
    <t>Data not yet received from RBG business team; follow-up required to unblock logic discussion.</t>
  </si>
  <si>
    <t>• Stock / Collateral Insurance data collection not yet started for RBG.</t>
  </si>
  <si>
    <t>• Stock Audit data collection not yet started for RBG.</t>
  </si>
  <si>
    <t>Infrastructure &amp; Process</t>
  </si>
  <si>
    <t>Shared Drive &amp; MoveIt Job Setup — All Business</t>
  </si>
  <si>
    <t>• Shared drive setup is still pending from business.
• Once available, business will be asked to raise a MoveIt job for automated file movement, replacing the current email-based sharing process for all business units.</t>
  </si>
  <si>
    <t>Awaiting business to provision the shared drive before the MoveIt job can be raised; this is blocking a move away from manual email-based file sharing.</t>
  </si>
  <si>
    <t>Process improvement that will reduce manual file-handling effort across all business units.</t>
  </si>
  <si>
    <t>FYN</t>
  </si>
  <si>
    <t>API Requirement Discussion (FYN &amp; NIMBLE)</t>
  </si>
  <si>
    <t>Initial Project Requirement Discussion</t>
  </si>
  <si>
    <t>• Discussed overall data flow with the FYN team and our BI team, covering Customer Documents: Stocks, Insurance and Audit.</t>
  </si>
  <si>
    <t>Sets the scope baseline for the FYN integration.</t>
  </si>
  <si>
    <t>API Design</t>
  </si>
  <si>
    <t>API Requirement Discussion — Detailed Call</t>
  </si>
  <si>
    <t>• Detailed call held between Sanjay P. (FYN) and Santanu to define which columns and details must pass through each API, and to agree how many APIs will be built from each side.</t>
  </si>
  <si>
    <t>Santanu still needs to review Sanjay's follow-up mail outlining 5 APIs at a high level and revert with confirmation; response is pending.</t>
  </si>
  <si>
    <t>Santanu+Pooja+Kawal+Akash</t>
  </si>
  <si>
    <t>Blocks finalisation of the FYN API count and scope.</t>
  </si>
  <si>
    <t>NPA Reporting</t>
  </si>
  <si>
    <t>InitialData Gathering &amp; Column Requirement Mail</t>
  </si>
  <si>
    <t>• Held initial meeting with business and sent a mail listing the columns required for NPA reporting, with the requirement explained in detail.</t>
  </si>
  <si>
    <t>First formal requirement capture for the NPA Reporting project.</t>
  </si>
  <si>
    <t>Detailed Requirement Re-Confirmation Meeting</t>
  </si>
  <si>
    <t>• Earlier meeting had gathered data based on a different assumption of the requirement, so a follow-up detailed meeting was held to align on the actual business requirement and re-shared in a mail to business.</t>
  </si>
  <si>
    <t>Business response was delayed because Sidhesh was occupied with an ongoing audit on the business side.</t>
  </si>
  <si>
    <t>Delay was caused by business-side audit workload, not a project blocker.</t>
  </si>
  <si>
    <t>ETL Build — Excel, JSON &amp; Final NPA Table</t>
  </si>
  <si>
    <t>• Built the query logic, ETL pipelines and the final NPA report table based on the confirmed data and logic from the requirement-gathering phase.</t>
  </si>
  <si>
    <t>Core data pipeline for the NPA Reporting deliverable.</t>
  </si>
  <si>
    <t>UAT with Business — Sidhesh</t>
  </si>
  <si>
    <t>• UAT conducted with business (Sidhesh) on the 19th, followed by a follow-up call covering pointer updates.
• Final updates applied based on UAT feedback, with sign-off received on 1st June.</t>
  </si>
  <si>
    <t>Kawal+Smita</t>
  </si>
  <si>
    <t>UAT sign-off achieved; feeds directly into the Final Submission scope change below.</t>
  </si>
  <si>
    <t>Final Submission</t>
  </si>
  <si>
    <t>Final NPA Report — Multi-File Consolidation Build</t>
  </si>
  <si>
    <t>• UAT revealed business will not provide one consolidated file; instead each of the 7 business units will place its own file on the shared drive.
• ETL must read these files from S3 via the MoveIt process and consolidate them into one final table, tracked at CRN + Account level on a monthly and daily basis.
• Outstanding build items: (1) Smita to create multiple ETL jobs — one per business folder — to consolidate monthly/daily files and update the final tracking table; (2) the 'File Last Received Date' field must be updated based on the latest file and most recent record in the system.</t>
  </si>
  <si>
    <t>Smita has not yet completed the multi-folder ETL build and the File Last Received Date logic; she has been occupied with Covenant Project UAT and other business development work.</t>
  </si>
  <si>
    <t>Delayed</t>
  </si>
  <si>
    <t>Scope expanded mid-project after UAT findings; now the critical path item for NPA go-live.</t>
  </si>
  <si>
    <t>Access Management</t>
  </si>
  <si>
    <t>Read-Only Role Access — NPA Team (Neha)</t>
  </si>
  <si>
    <t>• Critical admin task to assign read-only table access to the NPA team (Neha) for the final NPA table.</t>
  </si>
  <si>
    <t>Access assignment is pending from Akash; not yet actioned because Akash has been occupied with Covenant Project UAT and other business development work.</t>
  </si>
  <si>
    <t>Akash</t>
  </si>
  <si>
    <t>Independent of the multi-file consolidation build; can be actioned at any time once Akash is available.</t>
  </si>
  <si>
    <t>Dropped</t>
  </si>
  <si>
    <t>API - Feedback Resolution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</si>
</sst>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8" x14ac:knownFonts="1">
    <font>
      <sz val="11"/>
      <color theme="1"/>
      <name val="Calibri"/>
      <family val="2"/>
      <charset val="1"/>
    </font>
    <font>
      <sz val="10"/>
      <name val="Arial"/>
      <family val="2"/>
      <charset val="1"/>
    </font>
    <font>
      <sz val="11"/>
      <name val="Arial"/>
      <family val="2"/>
      <charset val="1"/>
    </font>
    <font>
      <b/>
      <sz val="14"/>
      <color rgb="FFFFFFFF"/>
      <name val="Arial"/>
      <family val="2"/>
      <charset val="1"/>
    </font>
    <font>
      <i/>
      <sz val="9"/>
      <color rgb="FFAEB6BF"/>
      <name val="Arial"/>
      <family val="2"/>
      <charset val="1"/>
    </font>
    <font>
      <b/>
      <sz val="9"/>
      <color rgb="FFFFFFFF"/>
      <name val="Arial"/>
      <family val="2"/>
      <charset val="1"/>
    </font>
    <font>
      <b/>
      <sz val="9"/>
      <color rgb="FF000000"/>
      <name val="Arial"/>
      <family val="2"/>
      <charset val="1"/>
    </font>
    <font>
      <sz val="9"/>
      <color rgb="FF000000"/>
      <name val="Arial"/>
      <family val="2"/>
      <charset val="1"/>
    </font>
  </fonts>
  <fills count="7">
    <fill>
      <patternFill patternType="none"/>
    </fill>
    <fill>
      <patternFill patternType="gray125"/>
    </fill>
    <fill>
      <patternFill patternType="solid">
        <fgColor rgb="FF0D1B2A"/>
        <bgColor rgb="FF000000"/>
      </patternFill>
    </fill>
    <fill>
      <patternFill patternType="solid">
        <fgColor rgb="FF1B4F72"/>
        <bgColor rgb="FF2C3E50"/>
      </patternFill>
    </fill>
    <fill>
      <patternFill patternType="solid">
        <fgColor rgb="FFFFFF00"/>
        <bgColor rgb="FFFFFF00"/>
      </patternFill>
    </fill>
    <fill>
      <patternFill patternType="solid">
        <fgColor rgb="FFFFFFFF"/>
        <bgColor rgb="FFF8F9FA"/>
      </patternFill>
    </fill>
    <fill>
      <patternFill patternType="solid">
        <fgColor rgb="FFF8F9FA"/>
        <bgColor rgb="FFF2F3F4"/>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27">
    <xf numFmtId="0" fontId="0" fillId="0" borderId="0" xfId="0"/>
    <xf numFmtId="0" fontId="0" fillId="0" borderId="0" xfId="0" applyAlignment="1">
      <alignment vertical="center"/>
    </xf>
    <xf numFmtId="0" fontId="0" fillId="0" borderId="0" xfId="0" applyAlignment="1">
      <alignment vertical="center" wrapText="1"/>
    </xf>
    <xf numFmtId="9" fontId="1" fillId="0" borderId="0" xfId="0" applyNumberFormat="1" applyFont="1" applyAlignment="1">
      <alignment vertical="center" wrapText="1"/>
    </xf>
    <xf numFmtId="0" fontId="2" fillId="0" borderId="0" xfId="0" applyFont="1" applyAlignment="1">
      <alignment vertical="center"/>
    </xf>
    <xf numFmtId="0" fontId="5" fillId="3" borderId="1" xfId="0" applyFont="1" applyFill="1" applyBorder="1" applyAlignment="1">
      <alignment horizontal="center" vertical="center" wrapText="1"/>
    </xf>
    <xf numFmtId="9" fontId="1" fillId="4" borderId="1" xfId="0" applyNumberFormat="1" applyFont="1" applyFill="1" applyBorder="1" applyAlignment="1">
      <alignment horizontal="center" vertical="center" wrapText="1"/>
    </xf>
    <xf numFmtId="0" fontId="6" fillId="5" borderId="1" xfId="0" applyFont="1" applyFill="1" applyBorder="1" applyAlignment="1">
      <alignment vertical="center" wrapText="1"/>
    </xf>
    <xf numFmtId="0" fontId="7" fillId="5" borderId="1" xfId="0" applyFont="1" applyFill="1" applyBorder="1" applyAlignment="1">
      <alignment vertical="center" wrapText="1"/>
    </xf>
    <xf numFmtId="0" fontId="7" fillId="5" borderId="1" xfId="0" applyFont="1" applyFill="1" applyBorder="1" applyAlignment="1">
      <alignment horizontal="center" vertical="center"/>
    </xf>
    <xf numFmtId="164" fontId="7" fillId="5" borderId="1" xfId="0" applyNumberFormat="1" applyFont="1" applyFill="1" applyBorder="1" applyAlignment="1">
      <alignment horizontal="center" vertical="center"/>
    </xf>
    <xf numFmtId="1" fontId="7" fillId="5" borderId="1" xfId="0" applyNumberFormat="1" applyFont="1" applyFill="1" applyBorder="1" applyAlignment="1">
      <alignment horizontal="center" vertical="center"/>
    </xf>
    <xf numFmtId="9" fontId="7" fillId="5" borderId="1" xfId="0" applyNumberFormat="1" applyFont="1" applyFill="1" applyBorder="1" applyAlignment="1">
      <alignment horizontal="center" vertical="center"/>
    </xf>
    <xf numFmtId="9" fontId="1" fillId="4" borderId="0" xfId="0" applyNumberFormat="1" applyFont="1" applyFill="1" applyAlignment="1">
      <alignment horizontal="center" vertical="center"/>
    </xf>
    <xf numFmtId="0" fontId="7" fillId="6" borderId="1" xfId="0" applyFont="1" applyFill="1" applyBorder="1" applyAlignment="1">
      <alignment vertical="center" wrapText="1"/>
    </xf>
    <xf numFmtId="0" fontId="7" fillId="6" borderId="1" xfId="0" applyFont="1" applyFill="1" applyBorder="1" applyAlignment="1">
      <alignment horizontal="center" vertical="center"/>
    </xf>
    <xf numFmtId="164" fontId="7" fillId="6" borderId="1" xfId="0" applyNumberFormat="1" applyFont="1" applyFill="1" applyBorder="1" applyAlignment="1">
      <alignment horizontal="center" vertical="center"/>
    </xf>
    <xf numFmtId="1" fontId="7" fillId="6" borderId="1" xfId="0" applyNumberFormat="1" applyFont="1" applyFill="1" applyBorder="1" applyAlignment="1">
      <alignment horizontal="center" vertical="center"/>
    </xf>
    <xf numFmtId="9" fontId="7" fillId="6" borderId="1" xfId="0" applyNumberFormat="1" applyFont="1" applyFill="1" applyBorder="1" applyAlignment="1">
      <alignment horizontal="center" vertical="center"/>
    </xf>
    <xf numFmtId="0" fontId="6" fillId="6" borderId="1" xfId="0" applyFont="1" applyFill="1" applyBorder="1" applyAlignment="1">
      <alignment vertical="center" wrapText="1"/>
    </xf>
    <xf numFmtId="0" fontId="2" fillId="0" borderId="0" xfId="0" applyFont="1" applyAlignment="1">
      <alignment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vertical="center" wrapText="1"/>
    </xf>
    <xf numFmtId="9" fontId="1" fillId="0" borderId="0" xfId="0" applyNumberFormat="1" applyFont="1" applyAlignment="1">
      <alignment vertical="center" wrapText="1"/>
    </xf>
    <xf numFmtId="0" fontId="3" fillId="2" borderId="0" xfId="0" applyFont="1" applyFill="1" applyAlignment="1">
      <alignment horizontal="center" vertical="center" wrapText="1"/>
    </xf>
  </cellXfs>
  <cellStyles count="1">
    <cellStyle name="Normal" xfId="0" builtinId="0"/>
  </cellStyles>
  <dxfs count="13">
    <dxf>
      <font>
        <b/>
        <color rgb="FF1E8449"/>
      </font>
      <fill>
        <patternFill>
          <bgColor rgb="FFD5F5E3"/>
        </patternFill>
      </fill>
    </dxf>
    <dxf>
      <font>
        <b/>
        <color rgb="FFD4AC0D"/>
      </font>
      <fill>
        <patternFill>
          <bgColor rgb="FFFEF9E7"/>
        </patternFill>
      </fill>
    </dxf>
    <dxf>
      <font>
        <b/>
        <color rgb="FFC0392B"/>
      </font>
      <fill>
        <patternFill>
          <bgColor rgb="FFFADBD8"/>
        </patternFill>
      </fill>
    </dxf>
    <dxf>
      <font>
        <b/>
        <color rgb="FF2C3E50"/>
      </font>
      <fill>
        <patternFill>
          <bgColor rgb="FFF2F3F4"/>
        </patternFill>
      </fill>
    </dxf>
    <dxf>
      <font>
        <b/>
        <color rgb="FFC0392B"/>
      </font>
      <fill>
        <patternFill>
          <bgColor rgb="FFFADBD8"/>
        </patternFill>
      </fill>
    </dxf>
    <dxf>
      <font>
        <b/>
        <color rgb="FFC0392B"/>
      </font>
      <fill>
        <patternFill>
          <bgColor rgb="FFFADBD8"/>
        </patternFill>
      </fill>
    </dxf>
    <dxf>
      <font>
        <b/>
        <color rgb="FFD4AC0D"/>
      </font>
      <fill>
        <patternFill>
          <bgColor rgb="FFFEF9E7"/>
        </patternFill>
      </fill>
    </dxf>
    <dxf>
      <font>
        <b/>
        <color rgb="FF2E86C1"/>
      </font>
      <fill>
        <patternFill>
          <bgColor rgb="FFD6EAF8"/>
        </patternFill>
      </fill>
    </dxf>
    <dxf>
      <font>
        <b/>
        <color rgb="FF1E8449"/>
      </font>
      <fill>
        <patternFill>
          <bgColor rgb="FFD5F5E3"/>
        </patternFill>
      </fill>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border outline="0">
        <left style="thin">
          <color rgb="FFD5D8DC"/>
        </left>
      </border>
    </dxf>
    <dxf>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BDC3C7"/>
      <rgbColor rgb="FF808080"/>
      <rgbColor rgb="FF9999FF"/>
      <rgbColor rgb="FF6C3483"/>
      <rgbColor rgb="FFFEF9E7"/>
      <rgbColor rgb="FFD6EAF8"/>
      <rgbColor rgb="FF660066"/>
      <rgbColor rgb="FFFF8080"/>
      <rgbColor rgb="FF0066CC"/>
      <rgbColor rgb="FFD5D8DC"/>
      <rgbColor rgb="FF000080"/>
      <rgbColor rgb="FFFF00FF"/>
      <rgbColor rgb="FFFFFF00"/>
      <rgbColor rgb="FF00FFFF"/>
      <rgbColor rgb="FF800080"/>
      <rgbColor rgb="FF800000"/>
      <rgbColor rgb="FF1E8449"/>
      <rgbColor rgb="FF0000FF"/>
      <rgbColor rgb="FF00CCFF"/>
      <rgbColor rgb="FFF2F3F4"/>
      <rgbColor rgb="FFD5F5E3"/>
      <rgbColor rgb="FFF8F9FA"/>
      <rgbColor rgb="FFAEB6BF"/>
      <rgbColor rgb="FFFF99CC"/>
      <rgbColor rgb="FFCC99FF"/>
      <rgbColor rgb="FFFADBD8"/>
      <rgbColor rgb="FF2E86C1"/>
      <rgbColor rgb="FF33CCCC"/>
      <rgbColor rgb="FF99CC00"/>
      <rgbColor rgb="FFF1C40F"/>
      <rgbColor rgb="FFD4AC0D"/>
      <rgbColor rgb="FFE74C3C"/>
      <rgbColor rgb="FF666699"/>
      <rgbColor rgb="FF969696"/>
      <rgbColor rgb="FF1B4F72"/>
      <rgbColor rgb="FF27AE60"/>
      <rgbColor rgb="FF0D1B2A"/>
      <rgbColor rgb="FF333300"/>
      <rgbColor rgb="FFC0392B"/>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sTable3" displayName="TasksTable3" ref="B3:Q63" totalsRowShown="0">
  <autoFilter ref="B3:Q63" xr:uid="{00000000-0009-0000-0100-000001000000}"/>
  <tableColumns count="16">
    <tableColumn id="1" xr3:uid="{00000000-0010-0000-0000-000001000000}" name="Project" dataDxfId="12"/>
    <tableColumn id="2" xr3:uid="{00000000-0010-0000-0000-000002000000}" name="Business" dataDxfId="11"/>
    <tableColumn id="3" xr3:uid="{00000000-0010-0000-0000-000003000000}" name="Phase" dataDxfId="10"/>
    <tableColumn id="4" xr3:uid="{00000000-0010-0000-0000-000004000000}" name="Activity / Task"/>
    <tableColumn id="5" xr3:uid="{00000000-0010-0000-0000-000005000000}" name="Detailed Task"/>
    <tableColumn id="6" xr3:uid="{00000000-0010-0000-0000-000006000000}" name="Remark if pending"/>
    <tableColumn id="7" xr3:uid="{00000000-0010-0000-0000-000007000000}" name="Owner" dataDxfId="9"/>
    <tableColumn id="8" xr3:uid="{00000000-0010-0000-0000-000008000000}" name="Priority"/>
    <tableColumn id="9" xr3:uid="{00000000-0010-0000-0000-000009000000}" name="Start Date"/>
    <tableColumn id="10" xr3:uid="{00000000-0010-0000-0000-00000A000000}" name="End Date"/>
    <tableColumn id="11" xr3:uid="{00000000-0010-0000-0000-00000B000000}" name="Duration"/>
    <tableColumn id="12" xr3:uid="{00000000-0010-0000-0000-00000C000000}" name="% Done"/>
    <tableColumn id="13" xr3:uid="{00000000-0010-0000-0000-00000D000000}" name="Status"/>
    <tableColumn id="14" xr3:uid="{00000000-0010-0000-0000-00000E000000}" name="Risk Level"/>
    <tableColumn id="15" xr3:uid="{00000000-0010-0000-0000-00000F000000}" name="Notes"/>
    <tableColumn id="16" xr3:uid="{00000000-0010-0000-0000-000010000000}" name="RankScore (help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C3483"/>
    <pageSetUpPr fitToPage="1"/>
  </sheetPr>
  <dimension ref="A1:Q66"/>
  <sheetViews>
    <sheetView showGridLines="0" tabSelected="1" zoomScaleNormal="100" workbookViewId="0">
      <pane xSplit="1" ySplit="3" topLeftCell="B49" activePane="bottomRight" state="frozen"/>
      <selection pane="topRight" activeCell="B1" sqref="B1"/>
      <selection pane="bottomLeft" activeCell="A4" sqref="A4"/>
      <selection pane="bottomRight" activeCell="F54" sqref="F54"/>
    </sheetView>
  </sheetViews>
  <sheetFormatPr defaultColWidth="8.6640625" defaultRowHeight="14.4" x14ac:dyDescent="0.3"/>
  <cols>
    <col min="1" max="1" width="1.5546875" style="1" customWidth="1"/>
    <col min="2" max="2" width="11" style="2" customWidth="1"/>
    <col min="3" max="3" width="12.21875" style="2" customWidth="1"/>
    <col min="4" max="4" width="14.21875" style="2" customWidth="1"/>
    <col min="5" max="5" width="20.21875" style="2" customWidth="1"/>
    <col min="6" max="6" width="38.77734375" style="2" customWidth="1"/>
    <col min="7" max="7" width="29.21875" style="2" customWidth="1"/>
    <col min="8" max="8" width="11.21875" style="2" customWidth="1"/>
    <col min="9" max="9" width="9.6640625" style="2" customWidth="1"/>
    <col min="10" max="10" width="9.21875" style="2" customWidth="1"/>
    <col min="11" max="11" width="10" style="2" customWidth="1"/>
    <col min="12" max="12" width="7.77734375" style="2" customWidth="1"/>
    <col min="13" max="13" width="9" style="2" customWidth="1"/>
    <col min="14" max="14" width="11" style="2" customWidth="1"/>
    <col min="15" max="15" width="10" style="2" customWidth="1"/>
    <col min="16" max="16" width="30" style="2" customWidth="1"/>
    <col min="17" max="17" width="12.88671875" style="3" customWidth="1"/>
    <col min="18" max="18" width="8.6640625" style="1" customWidth="1"/>
    <col min="19" max="16384" width="8.6640625" style="1"/>
  </cols>
  <sheetData>
    <row r="1" spans="1:17" x14ac:dyDescent="0.3">
      <c r="A1" s="4"/>
      <c r="B1" s="26" t="s">
        <v>0</v>
      </c>
      <c r="C1" s="24"/>
      <c r="D1" s="24"/>
      <c r="E1" s="24"/>
      <c r="F1" s="24"/>
      <c r="G1" s="24"/>
      <c r="H1" s="24"/>
      <c r="I1" s="24"/>
      <c r="J1" s="24"/>
      <c r="K1" s="24"/>
      <c r="L1" s="24"/>
      <c r="M1" s="24"/>
      <c r="N1" s="24"/>
      <c r="O1" s="24"/>
      <c r="P1" s="24"/>
      <c r="Q1" s="25"/>
    </row>
    <row r="2" spans="1:17" x14ac:dyDescent="0.3">
      <c r="A2" s="4"/>
      <c r="B2" s="23" t="s">
        <v>1</v>
      </c>
      <c r="C2" s="24"/>
      <c r="D2" s="24"/>
      <c r="E2" s="24"/>
      <c r="F2" s="24"/>
      <c r="G2" s="24"/>
      <c r="H2" s="24"/>
      <c r="I2" s="24"/>
      <c r="J2" s="24"/>
      <c r="K2" s="24"/>
      <c r="L2" s="24"/>
      <c r="M2" s="24"/>
      <c r="N2" s="24"/>
      <c r="O2" s="24"/>
      <c r="P2" s="24"/>
      <c r="Q2" s="25"/>
    </row>
    <row r="3" spans="1:17" ht="26.4" x14ac:dyDescent="0.3">
      <c r="A3" s="4"/>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6" t="s">
        <v>17</v>
      </c>
    </row>
    <row r="4" spans="1:17" ht="68.400000000000006" x14ac:dyDescent="0.3">
      <c r="A4" s="4"/>
      <c r="B4" s="21" t="s">
        <v>18</v>
      </c>
      <c r="C4" s="7" t="s">
        <v>19</v>
      </c>
      <c r="D4" s="8" t="s">
        <v>20</v>
      </c>
      <c r="E4" s="8" t="s">
        <v>21</v>
      </c>
      <c r="F4" s="8" t="s">
        <v>22</v>
      </c>
      <c r="G4" s="8"/>
      <c r="H4" s="8" t="s">
        <v>23</v>
      </c>
      <c r="I4" s="9" t="s">
        <v>24</v>
      </c>
      <c r="J4" s="10">
        <v>46097</v>
      </c>
      <c r="K4" s="10">
        <v>46108</v>
      </c>
      <c r="L4" s="11">
        <v>11</v>
      </c>
      <c r="M4" s="12">
        <v>1</v>
      </c>
      <c r="N4" s="9" t="s">
        <v>25</v>
      </c>
      <c r="O4" s="9" t="s">
        <v>26</v>
      </c>
      <c r="P4" s="8" t="s">
        <v>27</v>
      </c>
      <c r="Q4" s="13" t="str">
        <f t="shared" ref="Q4:Q55" si="0">IF(AND(M4&gt;0,M4&lt;1),M4-(ROW()/100000000),"")</f>
        <v/>
      </c>
    </row>
    <row r="5" spans="1:17" ht="57" x14ac:dyDescent="0.3">
      <c r="A5" s="4"/>
      <c r="B5" s="22" t="s">
        <v>18</v>
      </c>
      <c r="C5" s="7" t="s">
        <v>19</v>
      </c>
      <c r="D5" s="14" t="s">
        <v>20</v>
      </c>
      <c r="E5" s="14" t="s">
        <v>28</v>
      </c>
      <c r="F5" s="14" t="s">
        <v>29</v>
      </c>
      <c r="G5" s="14" t="s">
        <v>30</v>
      </c>
      <c r="H5" s="14" t="s">
        <v>31</v>
      </c>
      <c r="I5" s="15" t="s">
        <v>24</v>
      </c>
      <c r="J5" s="16">
        <v>46111</v>
      </c>
      <c r="K5" s="16">
        <v>46203</v>
      </c>
      <c r="L5" s="17">
        <v>92</v>
      </c>
      <c r="M5" s="18">
        <v>0.35</v>
      </c>
      <c r="N5" s="15" t="s">
        <v>32</v>
      </c>
      <c r="O5" s="15" t="s">
        <v>33</v>
      </c>
      <c r="P5" s="14" t="s">
        <v>34</v>
      </c>
      <c r="Q5" s="13">
        <f t="shared" si="0"/>
        <v>0.34999995</v>
      </c>
    </row>
    <row r="6" spans="1:17" ht="34.200000000000003" x14ac:dyDescent="0.3">
      <c r="A6" s="4"/>
      <c r="B6" s="21" t="s">
        <v>18</v>
      </c>
      <c r="C6" s="7" t="s">
        <v>19</v>
      </c>
      <c r="D6" s="8" t="s">
        <v>20</v>
      </c>
      <c r="E6" s="8" t="s">
        <v>35</v>
      </c>
      <c r="F6" s="8" t="s">
        <v>36</v>
      </c>
      <c r="G6" s="8"/>
      <c r="H6" s="8" t="s">
        <v>37</v>
      </c>
      <c r="I6" s="9" t="s">
        <v>24</v>
      </c>
      <c r="J6" s="10">
        <v>46099</v>
      </c>
      <c r="K6" s="10">
        <v>46105</v>
      </c>
      <c r="L6" s="11">
        <v>6</v>
      </c>
      <c r="M6" s="12">
        <v>1</v>
      </c>
      <c r="N6" s="9" t="s">
        <v>25</v>
      </c>
      <c r="O6" s="9" t="s">
        <v>26</v>
      </c>
      <c r="P6" s="8" t="s">
        <v>38</v>
      </c>
      <c r="Q6" s="13" t="str">
        <f t="shared" si="0"/>
        <v/>
      </c>
    </row>
    <row r="7" spans="1:17" ht="45.6" x14ac:dyDescent="0.3">
      <c r="A7" s="4"/>
      <c r="B7" s="22" t="s">
        <v>18</v>
      </c>
      <c r="C7" s="7" t="s">
        <v>19</v>
      </c>
      <c r="D7" s="14" t="s">
        <v>20</v>
      </c>
      <c r="E7" s="14" t="s">
        <v>39</v>
      </c>
      <c r="F7" s="14" t="s">
        <v>40</v>
      </c>
      <c r="G7" s="14" t="s">
        <v>41</v>
      </c>
      <c r="H7" s="14" t="s">
        <v>37</v>
      </c>
      <c r="I7" s="15" t="s">
        <v>33</v>
      </c>
      <c r="J7" s="16">
        <v>46188</v>
      </c>
      <c r="K7" s="16">
        <v>46201</v>
      </c>
      <c r="L7" s="17">
        <v>95</v>
      </c>
      <c r="M7" s="18">
        <v>0.4</v>
      </c>
      <c r="N7" s="15" t="s">
        <v>42</v>
      </c>
      <c r="O7" s="15" t="s">
        <v>24</v>
      </c>
      <c r="P7" s="14" t="s">
        <v>43</v>
      </c>
      <c r="Q7" s="13">
        <f t="shared" si="0"/>
        <v>0.39999993</v>
      </c>
    </row>
    <row r="8" spans="1:17" ht="45.6" x14ac:dyDescent="0.3">
      <c r="A8" s="4"/>
      <c r="B8" s="21" t="s">
        <v>18</v>
      </c>
      <c r="C8" s="7" t="s">
        <v>19</v>
      </c>
      <c r="D8" s="8" t="s">
        <v>20</v>
      </c>
      <c r="E8" s="8" t="s">
        <v>44</v>
      </c>
      <c r="F8" s="8" t="s">
        <v>45</v>
      </c>
      <c r="G8" s="8" t="s">
        <v>41</v>
      </c>
      <c r="H8" s="8" t="s">
        <v>37</v>
      </c>
      <c r="I8" s="9" t="s">
        <v>33</v>
      </c>
      <c r="J8" s="16">
        <v>46188</v>
      </c>
      <c r="K8" s="10">
        <v>46201</v>
      </c>
      <c r="L8" s="11">
        <v>95</v>
      </c>
      <c r="M8" s="12">
        <v>0.4</v>
      </c>
      <c r="N8" s="9" t="s">
        <v>42</v>
      </c>
      <c r="O8" s="9" t="s">
        <v>24</v>
      </c>
      <c r="P8" s="8" t="s">
        <v>46</v>
      </c>
      <c r="Q8" s="13">
        <f t="shared" si="0"/>
        <v>0.39999992000000001</v>
      </c>
    </row>
    <row r="9" spans="1:17" ht="22.8" x14ac:dyDescent="0.3">
      <c r="A9" s="4"/>
      <c r="B9" s="22" t="s">
        <v>18</v>
      </c>
      <c r="C9" s="7" t="s">
        <v>19</v>
      </c>
      <c r="D9" s="14" t="s">
        <v>47</v>
      </c>
      <c r="E9" s="14" t="s">
        <v>48</v>
      </c>
      <c r="F9" s="14" t="s">
        <v>49</v>
      </c>
      <c r="G9" s="14"/>
      <c r="H9" s="14" t="s">
        <v>50</v>
      </c>
      <c r="I9" s="15" t="s">
        <v>24</v>
      </c>
      <c r="J9" s="16">
        <v>46109</v>
      </c>
      <c r="K9" s="16">
        <v>46118</v>
      </c>
      <c r="L9" s="17">
        <v>9</v>
      </c>
      <c r="M9" s="18">
        <v>1</v>
      </c>
      <c r="N9" s="15" t="s">
        <v>25</v>
      </c>
      <c r="O9" s="15" t="s">
        <v>26</v>
      </c>
      <c r="P9" s="14" t="s">
        <v>51</v>
      </c>
      <c r="Q9" s="13" t="str">
        <f t="shared" si="0"/>
        <v/>
      </c>
    </row>
    <row r="10" spans="1:17" ht="34.200000000000003" x14ac:dyDescent="0.3">
      <c r="A10" s="4"/>
      <c r="B10" s="21" t="s">
        <v>18</v>
      </c>
      <c r="C10" s="7" t="s">
        <v>19</v>
      </c>
      <c r="D10" s="8" t="s">
        <v>47</v>
      </c>
      <c r="E10" s="8" t="s">
        <v>52</v>
      </c>
      <c r="F10" s="8" t="s">
        <v>53</v>
      </c>
      <c r="G10" s="8"/>
      <c r="H10" s="8" t="s">
        <v>50</v>
      </c>
      <c r="I10" s="9" t="s">
        <v>24</v>
      </c>
      <c r="J10" s="10">
        <v>46119</v>
      </c>
      <c r="K10" s="10">
        <v>46130</v>
      </c>
      <c r="L10" s="11">
        <v>11</v>
      </c>
      <c r="M10" s="12">
        <v>1</v>
      </c>
      <c r="N10" s="9" t="s">
        <v>25</v>
      </c>
      <c r="O10" s="9" t="s">
        <v>26</v>
      </c>
      <c r="P10" s="8" t="s">
        <v>54</v>
      </c>
      <c r="Q10" s="13" t="str">
        <f t="shared" si="0"/>
        <v/>
      </c>
    </row>
    <row r="11" spans="1:17" ht="22.8" x14ac:dyDescent="0.3">
      <c r="A11" s="4"/>
      <c r="B11" s="22" t="s">
        <v>18</v>
      </c>
      <c r="C11" s="7" t="s">
        <v>19</v>
      </c>
      <c r="D11" s="14" t="s">
        <v>47</v>
      </c>
      <c r="E11" s="14" t="s">
        <v>55</v>
      </c>
      <c r="F11" s="14" t="s">
        <v>56</v>
      </c>
      <c r="G11" s="14"/>
      <c r="H11" s="14" t="s">
        <v>50</v>
      </c>
      <c r="I11" s="15" t="s">
        <v>24</v>
      </c>
      <c r="J11" s="16">
        <v>46131</v>
      </c>
      <c r="K11" s="16">
        <v>46137</v>
      </c>
      <c r="L11" s="17">
        <v>6</v>
      </c>
      <c r="M11" s="18">
        <v>1</v>
      </c>
      <c r="N11" s="15" t="s">
        <v>25</v>
      </c>
      <c r="O11" s="15" t="s">
        <v>26</v>
      </c>
      <c r="P11" s="14" t="s">
        <v>57</v>
      </c>
      <c r="Q11" s="13" t="str">
        <f t="shared" si="0"/>
        <v/>
      </c>
    </row>
    <row r="12" spans="1:17" ht="22.8" x14ac:dyDescent="0.3">
      <c r="A12" s="4"/>
      <c r="B12" s="21" t="s">
        <v>18</v>
      </c>
      <c r="C12" s="7" t="s">
        <v>19</v>
      </c>
      <c r="D12" s="8" t="s">
        <v>47</v>
      </c>
      <c r="E12" s="8" t="s">
        <v>58</v>
      </c>
      <c r="F12" s="8" t="s">
        <v>59</v>
      </c>
      <c r="G12" s="8"/>
      <c r="H12" s="8" t="s">
        <v>60</v>
      </c>
      <c r="I12" s="9" t="s">
        <v>24</v>
      </c>
      <c r="J12" s="10">
        <v>46138</v>
      </c>
      <c r="K12" s="10">
        <v>46142</v>
      </c>
      <c r="L12" s="11">
        <v>4</v>
      </c>
      <c r="M12" s="12">
        <v>1</v>
      </c>
      <c r="N12" s="9" t="s">
        <v>25</v>
      </c>
      <c r="O12" s="9" t="s">
        <v>26</v>
      </c>
      <c r="P12" s="8" t="s">
        <v>61</v>
      </c>
      <c r="Q12" s="13" t="str">
        <f t="shared" si="0"/>
        <v/>
      </c>
    </row>
    <row r="13" spans="1:17" ht="22.8" x14ac:dyDescent="0.3">
      <c r="A13" s="4"/>
      <c r="B13" s="22" t="s">
        <v>18</v>
      </c>
      <c r="C13" s="7" t="s">
        <v>19</v>
      </c>
      <c r="D13" s="14" t="s">
        <v>62</v>
      </c>
      <c r="E13" s="14" t="s">
        <v>63</v>
      </c>
      <c r="F13" s="14" t="s">
        <v>64</v>
      </c>
      <c r="G13" s="14"/>
      <c r="H13" s="14" t="s">
        <v>60</v>
      </c>
      <c r="I13" s="15" t="s">
        <v>24</v>
      </c>
      <c r="J13" s="16">
        <v>46143</v>
      </c>
      <c r="K13" s="16">
        <v>46148</v>
      </c>
      <c r="L13" s="17">
        <v>5</v>
      </c>
      <c r="M13" s="18">
        <v>1</v>
      </c>
      <c r="N13" s="15" t="s">
        <v>25</v>
      </c>
      <c r="O13" s="15" t="s">
        <v>26</v>
      </c>
      <c r="P13" s="14" t="s">
        <v>65</v>
      </c>
      <c r="Q13" s="13" t="str">
        <f t="shared" si="0"/>
        <v/>
      </c>
    </row>
    <row r="14" spans="1:17" ht="68.400000000000006" x14ac:dyDescent="0.3">
      <c r="A14" s="4"/>
      <c r="B14" s="21" t="s">
        <v>18</v>
      </c>
      <c r="C14" s="7" t="s">
        <v>19</v>
      </c>
      <c r="D14" s="8" t="s">
        <v>62</v>
      </c>
      <c r="E14" s="8" t="s">
        <v>66</v>
      </c>
      <c r="F14" s="8" t="s">
        <v>67</v>
      </c>
      <c r="G14" s="8"/>
      <c r="H14" s="8" t="s">
        <v>60</v>
      </c>
      <c r="I14" s="9" t="s">
        <v>24</v>
      </c>
      <c r="J14" s="10">
        <v>46149</v>
      </c>
      <c r="K14" s="10">
        <v>46157</v>
      </c>
      <c r="L14" s="11">
        <v>8</v>
      </c>
      <c r="M14" s="12">
        <v>1</v>
      </c>
      <c r="N14" s="9" t="s">
        <v>25</v>
      </c>
      <c r="O14" s="9" t="s">
        <v>26</v>
      </c>
      <c r="P14" s="8" t="s">
        <v>68</v>
      </c>
      <c r="Q14" s="13" t="str">
        <f t="shared" si="0"/>
        <v/>
      </c>
    </row>
    <row r="15" spans="1:17" ht="22.8" x14ac:dyDescent="0.3">
      <c r="A15" s="4"/>
      <c r="B15" s="22" t="s">
        <v>18</v>
      </c>
      <c r="C15" s="7" t="s">
        <v>19</v>
      </c>
      <c r="D15" s="8" t="s">
        <v>62</v>
      </c>
      <c r="E15" s="14" t="s">
        <v>69</v>
      </c>
      <c r="F15" s="14" t="s">
        <v>70</v>
      </c>
      <c r="G15" s="14"/>
      <c r="H15" s="14" t="s">
        <v>60</v>
      </c>
      <c r="I15" s="15" t="s">
        <v>24</v>
      </c>
      <c r="J15" s="16">
        <v>46158</v>
      </c>
      <c r="K15" s="16">
        <v>46162</v>
      </c>
      <c r="L15" s="17">
        <v>4</v>
      </c>
      <c r="M15" s="18">
        <v>1</v>
      </c>
      <c r="N15" s="15" t="s">
        <v>25</v>
      </c>
      <c r="O15" s="15" t="s">
        <v>26</v>
      </c>
      <c r="P15" s="14" t="s">
        <v>71</v>
      </c>
      <c r="Q15" s="13" t="str">
        <f t="shared" si="0"/>
        <v/>
      </c>
    </row>
    <row r="16" spans="1:17" ht="34.200000000000003" x14ac:dyDescent="0.3">
      <c r="A16" s="4"/>
      <c r="B16" s="21" t="s">
        <v>18</v>
      </c>
      <c r="C16" s="7" t="s">
        <v>19</v>
      </c>
      <c r="D16" s="8" t="s">
        <v>62</v>
      </c>
      <c r="E16" s="8" t="s">
        <v>72</v>
      </c>
      <c r="F16" s="8" t="s">
        <v>73</v>
      </c>
      <c r="G16" s="8" t="s">
        <v>74</v>
      </c>
      <c r="H16" s="8" t="s">
        <v>60</v>
      </c>
      <c r="I16" s="9" t="s">
        <v>24</v>
      </c>
      <c r="J16" s="10">
        <v>46163</v>
      </c>
      <c r="K16" s="10">
        <v>46208</v>
      </c>
      <c r="L16" s="11">
        <v>45</v>
      </c>
      <c r="M16" s="12">
        <v>0.15</v>
      </c>
      <c r="N16" s="9" t="s">
        <v>75</v>
      </c>
      <c r="O16" s="9" t="s">
        <v>33</v>
      </c>
      <c r="P16" s="8" t="s">
        <v>76</v>
      </c>
      <c r="Q16" s="13">
        <f t="shared" si="0"/>
        <v>0.14999984</v>
      </c>
    </row>
    <row r="17" spans="1:17" ht="22.8" x14ac:dyDescent="0.3">
      <c r="A17" s="4"/>
      <c r="B17" s="22" t="s">
        <v>18</v>
      </c>
      <c r="C17" s="7" t="s">
        <v>19</v>
      </c>
      <c r="D17" s="14" t="s">
        <v>47</v>
      </c>
      <c r="E17" s="14" t="s">
        <v>77</v>
      </c>
      <c r="F17" s="14" t="s">
        <v>78</v>
      </c>
      <c r="G17" s="14"/>
      <c r="H17" s="14" t="s">
        <v>79</v>
      </c>
      <c r="I17" s="15" t="s">
        <v>24</v>
      </c>
      <c r="J17" s="16">
        <v>46146</v>
      </c>
      <c r="K17" s="16">
        <v>46157</v>
      </c>
      <c r="L17" s="17">
        <v>11</v>
      </c>
      <c r="M17" s="18">
        <v>1</v>
      </c>
      <c r="N17" s="15" t="s">
        <v>25</v>
      </c>
      <c r="O17" s="15" t="s">
        <v>26</v>
      </c>
      <c r="P17" s="14" t="s">
        <v>80</v>
      </c>
      <c r="Q17" s="13" t="str">
        <f t="shared" si="0"/>
        <v/>
      </c>
    </row>
    <row r="18" spans="1:17" ht="45.6" x14ac:dyDescent="0.3">
      <c r="A18" s="4"/>
      <c r="B18" s="21" t="s">
        <v>18</v>
      </c>
      <c r="C18" s="7" t="s">
        <v>19</v>
      </c>
      <c r="D18" s="8" t="s">
        <v>47</v>
      </c>
      <c r="E18" s="8" t="s">
        <v>81</v>
      </c>
      <c r="F18" s="8" t="s">
        <v>82</v>
      </c>
      <c r="G18" s="8"/>
      <c r="H18" s="8" t="s">
        <v>83</v>
      </c>
      <c r="I18" s="9" t="s">
        <v>24</v>
      </c>
      <c r="J18" s="10">
        <v>46160</v>
      </c>
      <c r="K18" s="10">
        <v>46169</v>
      </c>
      <c r="L18" s="11">
        <v>9</v>
      </c>
      <c r="M18" s="12">
        <v>1</v>
      </c>
      <c r="N18" s="9" t="s">
        <v>25</v>
      </c>
      <c r="O18" s="9" t="s">
        <v>26</v>
      </c>
      <c r="P18" s="8" t="s">
        <v>84</v>
      </c>
      <c r="Q18" s="13" t="str">
        <f t="shared" si="0"/>
        <v/>
      </c>
    </row>
    <row r="19" spans="1:17" ht="34.200000000000003" x14ac:dyDescent="0.3">
      <c r="A19" s="4"/>
      <c r="B19" s="22" t="s">
        <v>18</v>
      </c>
      <c r="C19" s="7" t="s">
        <v>19</v>
      </c>
      <c r="D19" s="14" t="s">
        <v>47</v>
      </c>
      <c r="E19" s="14" t="s">
        <v>85</v>
      </c>
      <c r="F19" s="14" t="s">
        <v>86</v>
      </c>
      <c r="G19" s="14"/>
      <c r="H19" s="14" t="s">
        <v>83</v>
      </c>
      <c r="I19" s="15" t="s">
        <v>33</v>
      </c>
      <c r="J19" s="16">
        <v>46170</v>
      </c>
      <c r="K19" s="16">
        <v>46176</v>
      </c>
      <c r="L19" s="17">
        <v>6</v>
      </c>
      <c r="M19" s="18">
        <v>1</v>
      </c>
      <c r="N19" s="15" t="s">
        <v>25</v>
      </c>
      <c r="O19" s="15" t="s">
        <v>26</v>
      </c>
      <c r="P19" s="14" t="s">
        <v>87</v>
      </c>
      <c r="Q19" s="13" t="str">
        <f t="shared" si="0"/>
        <v/>
      </c>
    </row>
    <row r="20" spans="1:17" ht="45.6" x14ac:dyDescent="0.3">
      <c r="A20" s="4"/>
      <c r="B20" s="21" t="s">
        <v>18</v>
      </c>
      <c r="C20" s="7" t="s">
        <v>19</v>
      </c>
      <c r="D20" s="8" t="s">
        <v>123</v>
      </c>
      <c r="E20" s="8" t="s">
        <v>124</v>
      </c>
      <c r="F20" s="8" t="s">
        <v>125</v>
      </c>
      <c r="G20" s="8"/>
      <c r="H20" s="8" t="s">
        <v>60</v>
      </c>
      <c r="I20" s="9" t="s">
        <v>24</v>
      </c>
      <c r="J20" s="10">
        <v>46186</v>
      </c>
      <c r="K20" s="10">
        <v>46197</v>
      </c>
      <c r="L20" s="11">
        <v>11</v>
      </c>
      <c r="M20" s="12">
        <v>0.65</v>
      </c>
      <c r="N20" s="9" t="s">
        <v>32</v>
      </c>
      <c r="O20" s="9" t="s">
        <v>33</v>
      </c>
      <c r="P20" s="8" t="s">
        <v>126</v>
      </c>
      <c r="Q20" s="13">
        <f t="shared" ref="Q20:Q42" si="1">IF(AND(M20&gt;0,M20&lt;1),M20-(ROW()/100000000),"")</f>
        <v>0.64999980000000002</v>
      </c>
    </row>
    <row r="21" spans="1:17" ht="102.6" x14ac:dyDescent="0.3">
      <c r="A21" s="4"/>
      <c r="B21" s="22" t="s">
        <v>18</v>
      </c>
      <c r="C21" s="7" t="s">
        <v>19</v>
      </c>
      <c r="D21" s="14" t="s">
        <v>127</v>
      </c>
      <c r="E21" s="14" t="s">
        <v>128</v>
      </c>
      <c r="F21" s="14" t="s">
        <v>129</v>
      </c>
      <c r="G21" s="14"/>
      <c r="H21" s="14" t="s">
        <v>130</v>
      </c>
      <c r="I21" s="15" t="s">
        <v>33</v>
      </c>
      <c r="J21" s="16">
        <v>46178</v>
      </c>
      <c r="K21" s="16">
        <v>46189</v>
      </c>
      <c r="L21" s="17">
        <v>11</v>
      </c>
      <c r="M21" s="18">
        <v>1</v>
      </c>
      <c r="N21" s="15" t="s">
        <v>25</v>
      </c>
      <c r="O21" s="15" t="s">
        <v>26</v>
      </c>
      <c r="P21" s="14" t="s">
        <v>131</v>
      </c>
      <c r="Q21" s="13" t="str">
        <f t="shared" si="1"/>
        <v/>
      </c>
    </row>
    <row r="22" spans="1:17" ht="57" x14ac:dyDescent="0.3">
      <c r="A22" s="4"/>
      <c r="B22" s="22" t="s">
        <v>18</v>
      </c>
      <c r="C22" s="19" t="s">
        <v>102</v>
      </c>
      <c r="D22" s="14" t="s">
        <v>20</v>
      </c>
      <c r="E22" s="14" t="s">
        <v>148</v>
      </c>
      <c r="F22" s="14" t="s">
        <v>149</v>
      </c>
      <c r="G22" s="14" t="s">
        <v>150</v>
      </c>
      <c r="H22" s="14" t="s">
        <v>37</v>
      </c>
      <c r="I22" s="15" t="s">
        <v>33</v>
      </c>
      <c r="J22" s="16">
        <v>46193</v>
      </c>
      <c r="K22" s="16">
        <v>46206</v>
      </c>
      <c r="L22" s="17">
        <v>13</v>
      </c>
      <c r="M22" s="18">
        <v>0.45</v>
      </c>
      <c r="N22" s="15" t="s">
        <v>32</v>
      </c>
      <c r="O22" s="15" t="s">
        <v>33</v>
      </c>
      <c r="P22" s="14" t="s">
        <v>151</v>
      </c>
      <c r="Q22" s="13">
        <f t="shared" si="1"/>
        <v>0.44999978000000002</v>
      </c>
    </row>
    <row r="23" spans="1:17" ht="34.200000000000003" x14ac:dyDescent="0.3">
      <c r="A23" s="4"/>
      <c r="B23" s="21" t="s">
        <v>18</v>
      </c>
      <c r="C23" s="7" t="s">
        <v>102</v>
      </c>
      <c r="D23" s="8" t="s">
        <v>20</v>
      </c>
      <c r="E23" s="8" t="s">
        <v>152</v>
      </c>
      <c r="F23" s="8" t="s">
        <v>153</v>
      </c>
      <c r="G23" s="8" t="s">
        <v>154</v>
      </c>
      <c r="H23" s="8" t="s">
        <v>37</v>
      </c>
      <c r="I23" s="9" t="s">
        <v>33</v>
      </c>
      <c r="J23" s="10">
        <v>46207</v>
      </c>
      <c r="K23" s="10">
        <v>46228</v>
      </c>
      <c r="L23" s="11">
        <v>21</v>
      </c>
      <c r="M23" s="12">
        <v>0</v>
      </c>
      <c r="N23" s="9" t="s">
        <v>42</v>
      </c>
      <c r="O23" s="9" t="s">
        <v>33</v>
      </c>
      <c r="P23" s="8" t="s">
        <v>155</v>
      </c>
      <c r="Q23" s="13" t="str">
        <f t="shared" si="1"/>
        <v/>
      </c>
    </row>
    <row r="24" spans="1:17" ht="45.6" x14ac:dyDescent="0.3">
      <c r="A24" s="4"/>
      <c r="B24" s="22" t="s">
        <v>18</v>
      </c>
      <c r="C24" s="19" t="s">
        <v>102</v>
      </c>
      <c r="D24" s="14" t="s">
        <v>20</v>
      </c>
      <c r="E24" s="14" t="s">
        <v>156</v>
      </c>
      <c r="F24" s="14" t="s">
        <v>157</v>
      </c>
      <c r="G24" s="14" t="s">
        <v>158</v>
      </c>
      <c r="H24" s="14" t="s">
        <v>37</v>
      </c>
      <c r="I24" s="15" t="s">
        <v>33</v>
      </c>
      <c r="J24" s="16">
        <v>46214</v>
      </c>
      <c r="K24" s="16">
        <v>46242</v>
      </c>
      <c r="L24" s="17">
        <v>28</v>
      </c>
      <c r="M24" s="18">
        <v>0</v>
      </c>
      <c r="N24" s="15" t="s">
        <v>42</v>
      </c>
      <c r="O24" s="15" t="s">
        <v>33</v>
      </c>
      <c r="P24" s="14" t="s">
        <v>159</v>
      </c>
      <c r="Q24" s="13" t="str">
        <f t="shared" si="1"/>
        <v/>
      </c>
    </row>
    <row r="25" spans="1:17" ht="45.6" x14ac:dyDescent="0.3">
      <c r="A25" s="4"/>
      <c r="B25" s="21" t="s">
        <v>18</v>
      </c>
      <c r="C25" s="7" t="s">
        <v>102</v>
      </c>
      <c r="D25" s="8" t="s">
        <v>20</v>
      </c>
      <c r="E25" s="8" t="s">
        <v>160</v>
      </c>
      <c r="F25" s="8" t="s">
        <v>161</v>
      </c>
      <c r="G25" s="8" t="s">
        <v>158</v>
      </c>
      <c r="H25" s="8" t="s">
        <v>37</v>
      </c>
      <c r="I25" s="9" t="s">
        <v>33</v>
      </c>
      <c r="J25" s="10">
        <v>46214</v>
      </c>
      <c r="K25" s="10">
        <v>46242</v>
      </c>
      <c r="L25" s="11">
        <v>28</v>
      </c>
      <c r="M25" s="12">
        <v>0</v>
      </c>
      <c r="N25" s="9" t="s">
        <v>42</v>
      </c>
      <c r="O25" s="9" t="s">
        <v>33</v>
      </c>
      <c r="P25" s="8" t="s">
        <v>162</v>
      </c>
      <c r="Q25" s="13" t="str">
        <f t="shared" si="1"/>
        <v/>
      </c>
    </row>
    <row r="26" spans="1:17" ht="57" x14ac:dyDescent="0.3">
      <c r="A26" s="4"/>
      <c r="B26" s="22" t="s">
        <v>18</v>
      </c>
      <c r="C26" s="19" t="s">
        <v>163</v>
      </c>
      <c r="D26" s="14" t="s">
        <v>20</v>
      </c>
      <c r="E26" s="14" t="s">
        <v>148</v>
      </c>
      <c r="F26" s="14" t="s">
        <v>164</v>
      </c>
      <c r="G26" s="14" t="s">
        <v>165</v>
      </c>
      <c r="H26" s="14" t="s">
        <v>37</v>
      </c>
      <c r="I26" s="15" t="s">
        <v>33</v>
      </c>
      <c r="J26" s="16">
        <v>46200</v>
      </c>
      <c r="K26" s="16">
        <v>46213</v>
      </c>
      <c r="L26" s="17">
        <v>13</v>
      </c>
      <c r="M26" s="18">
        <v>0.3</v>
      </c>
      <c r="N26" s="15" t="s">
        <v>32</v>
      </c>
      <c r="O26" s="15" t="s">
        <v>33</v>
      </c>
      <c r="P26" s="14" t="s">
        <v>151</v>
      </c>
      <c r="Q26" s="13">
        <f t="shared" si="1"/>
        <v>0.29999974000000001</v>
      </c>
    </row>
    <row r="27" spans="1:17" ht="34.200000000000003" x14ac:dyDescent="0.3">
      <c r="A27" s="4"/>
      <c r="B27" s="21" t="s">
        <v>18</v>
      </c>
      <c r="C27" s="7" t="s">
        <v>163</v>
      </c>
      <c r="D27" s="8" t="s">
        <v>20</v>
      </c>
      <c r="E27" s="8" t="s">
        <v>152</v>
      </c>
      <c r="F27" s="8" t="s">
        <v>153</v>
      </c>
      <c r="G27" s="8" t="s">
        <v>166</v>
      </c>
      <c r="H27" s="8" t="s">
        <v>37</v>
      </c>
      <c r="I27" s="9" t="s">
        <v>33</v>
      </c>
      <c r="J27" s="10">
        <v>46214</v>
      </c>
      <c r="K27" s="10">
        <v>46235</v>
      </c>
      <c r="L27" s="11">
        <v>21</v>
      </c>
      <c r="M27" s="12">
        <v>0</v>
      </c>
      <c r="N27" s="9" t="s">
        <v>42</v>
      </c>
      <c r="O27" s="9" t="s">
        <v>33</v>
      </c>
      <c r="P27" s="8" t="s">
        <v>155</v>
      </c>
      <c r="Q27" s="13" t="str">
        <f t="shared" si="1"/>
        <v/>
      </c>
    </row>
    <row r="28" spans="1:17" ht="45.6" x14ac:dyDescent="0.3">
      <c r="A28" s="4"/>
      <c r="B28" s="22" t="s">
        <v>18</v>
      </c>
      <c r="C28" s="19" t="s">
        <v>163</v>
      </c>
      <c r="D28" s="14" t="s">
        <v>20</v>
      </c>
      <c r="E28" s="14" t="s">
        <v>156</v>
      </c>
      <c r="F28" s="14" t="s">
        <v>167</v>
      </c>
      <c r="G28" s="14" t="s">
        <v>158</v>
      </c>
      <c r="H28" s="14" t="s">
        <v>37</v>
      </c>
      <c r="I28" s="15" t="s">
        <v>33</v>
      </c>
      <c r="J28" s="16">
        <v>46221</v>
      </c>
      <c r="K28" s="16">
        <v>46249</v>
      </c>
      <c r="L28" s="17">
        <v>28</v>
      </c>
      <c r="M28" s="18">
        <v>0</v>
      </c>
      <c r="N28" s="15" t="s">
        <v>42</v>
      </c>
      <c r="O28" s="15" t="s">
        <v>33</v>
      </c>
      <c r="P28" s="14" t="s">
        <v>159</v>
      </c>
      <c r="Q28" s="13" t="str">
        <f t="shared" si="1"/>
        <v/>
      </c>
    </row>
    <row r="29" spans="1:17" ht="45.6" x14ac:dyDescent="0.3">
      <c r="A29" s="4"/>
      <c r="B29" s="21" t="s">
        <v>18</v>
      </c>
      <c r="C29" s="7" t="s">
        <v>163</v>
      </c>
      <c r="D29" s="8" t="s">
        <v>20</v>
      </c>
      <c r="E29" s="8" t="s">
        <v>160</v>
      </c>
      <c r="F29" s="8" t="s">
        <v>168</v>
      </c>
      <c r="G29" s="8" t="s">
        <v>158</v>
      </c>
      <c r="H29" s="8" t="s">
        <v>37</v>
      </c>
      <c r="I29" s="9" t="s">
        <v>33</v>
      </c>
      <c r="J29" s="10">
        <v>46221</v>
      </c>
      <c r="K29" s="10">
        <v>46249</v>
      </c>
      <c r="L29" s="11">
        <v>28</v>
      </c>
      <c r="M29" s="12">
        <v>0</v>
      </c>
      <c r="N29" s="9" t="s">
        <v>42</v>
      </c>
      <c r="O29" s="9" t="s">
        <v>33</v>
      </c>
      <c r="P29" s="8" t="s">
        <v>162</v>
      </c>
      <c r="Q29" s="13" t="str">
        <f t="shared" si="1"/>
        <v/>
      </c>
    </row>
    <row r="30" spans="1:17" ht="57" x14ac:dyDescent="0.3">
      <c r="A30" s="4"/>
      <c r="B30" s="22" t="s">
        <v>18</v>
      </c>
      <c r="C30" s="19" t="s">
        <v>169</v>
      </c>
      <c r="D30" s="14" t="s">
        <v>20</v>
      </c>
      <c r="E30" s="14" t="s">
        <v>148</v>
      </c>
      <c r="F30" s="14" t="s">
        <v>170</v>
      </c>
      <c r="G30" s="14" t="s">
        <v>171</v>
      </c>
      <c r="H30" s="14" t="s">
        <v>37</v>
      </c>
      <c r="I30" s="15" t="s">
        <v>33</v>
      </c>
      <c r="J30" s="16">
        <v>46207</v>
      </c>
      <c r="K30" s="16">
        <v>46220</v>
      </c>
      <c r="L30" s="17">
        <v>13</v>
      </c>
      <c r="M30" s="18">
        <v>0.55000000000000004</v>
      </c>
      <c r="N30" s="15" t="s">
        <v>32</v>
      </c>
      <c r="O30" s="15" t="s">
        <v>33</v>
      </c>
      <c r="P30" s="14" t="s">
        <v>151</v>
      </c>
      <c r="Q30" s="13">
        <f t="shared" si="1"/>
        <v>0.54999970000000009</v>
      </c>
    </row>
    <row r="31" spans="1:17" ht="34.200000000000003" x14ac:dyDescent="0.3">
      <c r="A31" s="4"/>
      <c r="B31" s="21" t="s">
        <v>18</v>
      </c>
      <c r="C31" s="7" t="s">
        <v>169</v>
      </c>
      <c r="D31" s="8" t="s">
        <v>20</v>
      </c>
      <c r="E31" s="8" t="s">
        <v>152</v>
      </c>
      <c r="F31" s="8" t="s">
        <v>172</v>
      </c>
      <c r="G31" s="8"/>
      <c r="H31" s="8" t="s">
        <v>37</v>
      </c>
      <c r="I31" s="9" t="s">
        <v>33</v>
      </c>
      <c r="J31" s="10">
        <v>46181</v>
      </c>
      <c r="K31" s="10">
        <v>46185</v>
      </c>
      <c r="L31" s="11">
        <v>4</v>
      </c>
      <c r="M31" s="12">
        <v>1</v>
      </c>
      <c r="N31" s="9" t="s">
        <v>25</v>
      </c>
      <c r="O31" s="9" t="s">
        <v>26</v>
      </c>
      <c r="P31" s="8" t="s">
        <v>173</v>
      </c>
      <c r="Q31" s="13" t="str">
        <f t="shared" si="1"/>
        <v/>
      </c>
    </row>
    <row r="32" spans="1:17" ht="45.6" x14ac:dyDescent="0.3">
      <c r="A32" s="4"/>
      <c r="B32" s="22" t="s">
        <v>18</v>
      </c>
      <c r="C32" s="7" t="s">
        <v>169</v>
      </c>
      <c r="D32" s="14" t="s">
        <v>20</v>
      </c>
      <c r="E32" s="14" t="s">
        <v>156</v>
      </c>
      <c r="F32" s="14" t="s">
        <v>174</v>
      </c>
      <c r="G32" s="14" t="s">
        <v>158</v>
      </c>
      <c r="H32" s="14" t="s">
        <v>37</v>
      </c>
      <c r="I32" s="15" t="s">
        <v>33</v>
      </c>
      <c r="J32" s="16">
        <v>46228</v>
      </c>
      <c r="K32" s="16">
        <v>46256</v>
      </c>
      <c r="L32" s="17">
        <v>28</v>
      </c>
      <c r="M32" s="18">
        <v>0</v>
      </c>
      <c r="N32" s="15" t="s">
        <v>42</v>
      </c>
      <c r="O32" s="15" t="s">
        <v>33</v>
      </c>
      <c r="P32" s="14" t="s">
        <v>159</v>
      </c>
      <c r="Q32" s="13" t="str">
        <f t="shared" si="1"/>
        <v/>
      </c>
    </row>
    <row r="33" spans="1:17" ht="45.6" x14ac:dyDescent="0.3">
      <c r="A33" s="4"/>
      <c r="B33" s="21" t="s">
        <v>18</v>
      </c>
      <c r="C33" s="7" t="s">
        <v>169</v>
      </c>
      <c r="D33" s="8" t="s">
        <v>20</v>
      </c>
      <c r="E33" s="8" t="s">
        <v>160</v>
      </c>
      <c r="F33" s="8" t="s">
        <v>175</v>
      </c>
      <c r="G33" s="8" t="s">
        <v>158</v>
      </c>
      <c r="H33" s="8" t="s">
        <v>37</v>
      </c>
      <c r="I33" s="9" t="s">
        <v>33</v>
      </c>
      <c r="J33" s="10">
        <v>46228</v>
      </c>
      <c r="K33" s="10">
        <v>46256</v>
      </c>
      <c r="L33" s="11">
        <v>28</v>
      </c>
      <c r="M33" s="12">
        <v>0</v>
      </c>
      <c r="N33" s="9" t="s">
        <v>42</v>
      </c>
      <c r="O33" s="9" t="s">
        <v>33</v>
      </c>
      <c r="P33" s="8" t="s">
        <v>162</v>
      </c>
      <c r="Q33" s="13" t="str">
        <f t="shared" si="1"/>
        <v/>
      </c>
    </row>
    <row r="34" spans="1:17" ht="57" x14ac:dyDescent="0.3">
      <c r="A34" s="4"/>
      <c r="B34" s="22" t="s">
        <v>18</v>
      </c>
      <c r="C34" s="19" t="s">
        <v>132</v>
      </c>
      <c r="D34" s="14" t="s">
        <v>20</v>
      </c>
      <c r="E34" s="14" t="s">
        <v>148</v>
      </c>
      <c r="F34" s="14" t="s">
        <v>176</v>
      </c>
      <c r="G34" s="14" t="s">
        <v>177</v>
      </c>
      <c r="H34" s="14" t="s">
        <v>37</v>
      </c>
      <c r="I34" s="15" t="s">
        <v>33</v>
      </c>
      <c r="J34" s="16">
        <v>46214</v>
      </c>
      <c r="K34" s="16">
        <v>46227</v>
      </c>
      <c r="L34" s="17">
        <v>13</v>
      </c>
      <c r="M34" s="18">
        <v>0</v>
      </c>
      <c r="N34" s="15" t="s">
        <v>42</v>
      </c>
      <c r="O34" s="15" t="s">
        <v>33</v>
      </c>
      <c r="P34" s="14" t="s">
        <v>151</v>
      </c>
      <c r="Q34" s="13" t="str">
        <f t="shared" si="1"/>
        <v/>
      </c>
    </row>
    <row r="35" spans="1:17" ht="34.200000000000003" x14ac:dyDescent="0.3">
      <c r="A35" s="4"/>
      <c r="B35" s="21" t="s">
        <v>18</v>
      </c>
      <c r="C35" s="7" t="s">
        <v>132</v>
      </c>
      <c r="D35" s="8" t="s">
        <v>20</v>
      </c>
      <c r="E35" s="8" t="s">
        <v>152</v>
      </c>
      <c r="F35" s="8" t="s">
        <v>153</v>
      </c>
      <c r="G35" s="8" t="s">
        <v>178</v>
      </c>
      <c r="H35" s="8" t="s">
        <v>37</v>
      </c>
      <c r="I35" s="9" t="s">
        <v>33</v>
      </c>
      <c r="J35" s="10">
        <v>46228</v>
      </c>
      <c r="K35" s="10">
        <v>46249</v>
      </c>
      <c r="L35" s="11">
        <v>21</v>
      </c>
      <c r="M35" s="12">
        <v>0</v>
      </c>
      <c r="N35" s="9" t="s">
        <v>42</v>
      </c>
      <c r="O35" s="9" t="s">
        <v>24</v>
      </c>
      <c r="P35" s="8" t="s">
        <v>155</v>
      </c>
      <c r="Q35" s="13" t="str">
        <f t="shared" si="1"/>
        <v/>
      </c>
    </row>
    <row r="36" spans="1:17" ht="45.6" x14ac:dyDescent="0.3">
      <c r="A36" s="4"/>
      <c r="B36" s="22" t="s">
        <v>18</v>
      </c>
      <c r="C36" s="19" t="s">
        <v>132</v>
      </c>
      <c r="D36" s="14" t="s">
        <v>20</v>
      </c>
      <c r="E36" s="14" t="s">
        <v>156</v>
      </c>
      <c r="F36" s="14" t="s">
        <v>179</v>
      </c>
      <c r="G36" s="14" t="s">
        <v>158</v>
      </c>
      <c r="H36" s="14" t="s">
        <v>37</v>
      </c>
      <c r="I36" s="15" t="s">
        <v>33</v>
      </c>
      <c r="J36" s="16">
        <v>46235</v>
      </c>
      <c r="K36" s="16">
        <v>46263</v>
      </c>
      <c r="L36" s="17">
        <v>28</v>
      </c>
      <c r="M36" s="18">
        <v>0</v>
      </c>
      <c r="N36" s="15" t="s">
        <v>42</v>
      </c>
      <c r="O36" s="15" t="s">
        <v>33</v>
      </c>
      <c r="P36" s="14" t="s">
        <v>159</v>
      </c>
      <c r="Q36" s="13" t="str">
        <f t="shared" si="1"/>
        <v/>
      </c>
    </row>
    <row r="37" spans="1:17" ht="45.6" x14ac:dyDescent="0.3">
      <c r="A37" s="4"/>
      <c r="B37" s="21" t="s">
        <v>18</v>
      </c>
      <c r="C37" s="7" t="s">
        <v>132</v>
      </c>
      <c r="D37" s="8" t="s">
        <v>20</v>
      </c>
      <c r="E37" s="8" t="s">
        <v>160</v>
      </c>
      <c r="F37" s="8" t="s">
        <v>180</v>
      </c>
      <c r="G37" s="8" t="s">
        <v>158</v>
      </c>
      <c r="H37" s="8" t="s">
        <v>37</v>
      </c>
      <c r="I37" s="9" t="s">
        <v>33</v>
      </c>
      <c r="J37" s="10">
        <v>46235</v>
      </c>
      <c r="K37" s="10">
        <v>46263</v>
      </c>
      <c r="L37" s="11">
        <v>28</v>
      </c>
      <c r="M37" s="12">
        <v>0</v>
      </c>
      <c r="N37" s="9" t="s">
        <v>42</v>
      </c>
      <c r="O37" s="9" t="s">
        <v>33</v>
      </c>
      <c r="P37" s="8" t="s">
        <v>162</v>
      </c>
      <c r="Q37" s="13" t="str">
        <f t="shared" si="1"/>
        <v/>
      </c>
    </row>
    <row r="38" spans="1:17" ht="57" x14ac:dyDescent="0.3">
      <c r="A38" s="4"/>
      <c r="B38" s="22" t="s">
        <v>18</v>
      </c>
      <c r="C38" s="19" t="s">
        <v>181</v>
      </c>
      <c r="D38" s="14" t="s">
        <v>20</v>
      </c>
      <c r="E38" s="14" t="s">
        <v>148</v>
      </c>
      <c r="F38" s="14" t="s">
        <v>176</v>
      </c>
      <c r="G38" s="14" t="s">
        <v>177</v>
      </c>
      <c r="H38" s="14" t="s">
        <v>37</v>
      </c>
      <c r="I38" s="15" t="s">
        <v>33</v>
      </c>
      <c r="J38" s="16">
        <v>46221</v>
      </c>
      <c r="K38" s="16">
        <v>46234</v>
      </c>
      <c r="L38" s="17">
        <v>13</v>
      </c>
      <c r="M38" s="18">
        <v>0</v>
      </c>
      <c r="N38" s="15" t="s">
        <v>42</v>
      </c>
      <c r="O38" s="15" t="s">
        <v>33</v>
      </c>
      <c r="P38" s="14" t="s">
        <v>151</v>
      </c>
      <c r="Q38" s="13" t="str">
        <f t="shared" si="1"/>
        <v/>
      </c>
    </row>
    <row r="39" spans="1:17" ht="34.200000000000003" x14ac:dyDescent="0.3">
      <c r="A39" s="4"/>
      <c r="B39" s="21" t="s">
        <v>18</v>
      </c>
      <c r="C39" s="7" t="s">
        <v>181</v>
      </c>
      <c r="D39" s="8" t="s">
        <v>20</v>
      </c>
      <c r="E39" s="8" t="s">
        <v>152</v>
      </c>
      <c r="F39" s="8" t="s">
        <v>153</v>
      </c>
      <c r="G39" s="8" t="s">
        <v>182</v>
      </c>
      <c r="H39" s="8" t="s">
        <v>37</v>
      </c>
      <c r="I39" s="9" t="s">
        <v>33</v>
      </c>
      <c r="J39" s="10">
        <v>46235</v>
      </c>
      <c r="K39" s="10">
        <v>46256</v>
      </c>
      <c r="L39" s="11">
        <v>21</v>
      </c>
      <c r="M39" s="12">
        <v>0</v>
      </c>
      <c r="N39" s="9" t="s">
        <v>42</v>
      </c>
      <c r="O39" s="9" t="s">
        <v>24</v>
      </c>
      <c r="P39" s="8" t="s">
        <v>155</v>
      </c>
      <c r="Q39" s="13" t="str">
        <f t="shared" si="1"/>
        <v/>
      </c>
    </row>
    <row r="40" spans="1:17" ht="45.6" x14ac:dyDescent="0.3">
      <c r="A40" s="4"/>
      <c r="B40" s="22" t="s">
        <v>18</v>
      </c>
      <c r="C40" s="19" t="s">
        <v>181</v>
      </c>
      <c r="D40" s="14" t="s">
        <v>20</v>
      </c>
      <c r="E40" s="14" t="s">
        <v>156</v>
      </c>
      <c r="F40" s="14" t="s">
        <v>183</v>
      </c>
      <c r="G40" s="14" t="s">
        <v>158</v>
      </c>
      <c r="H40" s="14" t="s">
        <v>37</v>
      </c>
      <c r="I40" s="15" t="s">
        <v>33</v>
      </c>
      <c r="J40" s="16">
        <v>46242</v>
      </c>
      <c r="K40" s="16">
        <v>46270</v>
      </c>
      <c r="L40" s="17">
        <v>28</v>
      </c>
      <c r="M40" s="18">
        <v>0</v>
      </c>
      <c r="N40" s="15" t="s">
        <v>42</v>
      </c>
      <c r="O40" s="15" t="s">
        <v>33</v>
      </c>
      <c r="P40" s="14" t="s">
        <v>159</v>
      </c>
      <c r="Q40" s="13" t="str">
        <f t="shared" si="1"/>
        <v/>
      </c>
    </row>
    <row r="41" spans="1:17" ht="45.6" x14ac:dyDescent="0.3">
      <c r="A41" s="4"/>
      <c r="B41" s="21" t="s">
        <v>18</v>
      </c>
      <c r="C41" s="7" t="s">
        <v>181</v>
      </c>
      <c r="D41" s="8" t="s">
        <v>20</v>
      </c>
      <c r="E41" s="8" t="s">
        <v>160</v>
      </c>
      <c r="F41" s="8" t="s">
        <v>184</v>
      </c>
      <c r="G41" s="8" t="s">
        <v>158</v>
      </c>
      <c r="H41" s="8" t="s">
        <v>37</v>
      </c>
      <c r="I41" s="9" t="s">
        <v>33</v>
      </c>
      <c r="J41" s="10">
        <v>46242</v>
      </c>
      <c r="K41" s="10">
        <v>46270</v>
      </c>
      <c r="L41" s="11">
        <v>28</v>
      </c>
      <c r="M41" s="12">
        <v>0</v>
      </c>
      <c r="N41" s="9" t="s">
        <v>42</v>
      </c>
      <c r="O41" s="9" t="s">
        <v>33</v>
      </c>
      <c r="P41" s="8" t="s">
        <v>162</v>
      </c>
      <c r="Q41" s="13" t="str">
        <f t="shared" si="1"/>
        <v/>
      </c>
    </row>
    <row r="42" spans="1:17" ht="57" x14ac:dyDescent="0.3">
      <c r="A42" s="4"/>
      <c r="B42" s="22" t="s">
        <v>18</v>
      </c>
      <c r="C42" s="19" t="s">
        <v>89</v>
      </c>
      <c r="D42" s="14" t="s">
        <v>185</v>
      </c>
      <c r="E42" s="14" t="s">
        <v>186</v>
      </c>
      <c r="F42" s="14" t="s">
        <v>187</v>
      </c>
      <c r="G42" s="14" t="s">
        <v>188</v>
      </c>
      <c r="H42" s="14" t="s">
        <v>37</v>
      </c>
      <c r="I42" s="15" t="s">
        <v>33</v>
      </c>
      <c r="J42" s="16">
        <v>46193</v>
      </c>
      <c r="K42" s="16">
        <v>46221</v>
      </c>
      <c r="L42" s="17">
        <v>28</v>
      </c>
      <c r="M42" s="18">
        <v>0</v>
      </c>
      <c r="N42" s="15" t="s">
        <v>42</v>
      </c>
      <c r="O42" s="15" t="s">
        <v>33</v>
      </c>
      <c r="P42" s="14" t="s">
        <v>189</v>
      </c>
      <c r="Q42" s="13" t="str">
        <f t="shared" si="1"/>
        <v/>
      </c>
    </row>
    <row r="43" spans="1:17" ht="34.200000000000003" x14ac:dyDescent="0.3">
      <c r="A43" s="4"/>
      <c r="B43" s="21" t="s">
        <v>88</v>
      </c>
      <c r="C43" s="7" t="s">
        <v>89</v>
      </c>
      <c r="D43" s="8" t="s">
        <v>90</v>
      </c>
      <c r="E43" s="8" t="s">
        <v>91</v>
      </c>
      <c r="F43" s="8" t="s">
        <v>92</v>
      </c>
      <c r="G43" s="8"/>
      <c r="H43" s="8" t="s">
        <v>37</v>
      </c>
      <c r="I43" s="9" t="s">
        <v>24</v>
      </c>
      <c r="J43" s="10">
        <v>46113</v>
      </c>
      <c r="K43" s="10">
        <v>46122</v>
      </c>
      <c r="L43" s="11">
        <v>9</v>
      </c>
      <c r="M43" s="12">
        <v>1</v>
      </c>
      <c r="N43" s="9" t="s">
        <v>25</v>
      </c>
      <c r="O43" s="9" t="s">
        <v>26</v>
      </c>
      <c r="P43" s="8" t="s">
        <v>93</v>
      </c>
      <c r="Q43" s="13" t="str">
        <f t="shared" si="0"/>
        <v/>
      </c>
    </row>
    <row r="44" spans="1:17" ht="34.200000000000003" x14ac:dyDescent="0.3">
      <c r="A44" s="4"/>
      <c r="B44" s="22" t="s">
        <v>88</v>
      </c>
      <c r="C44" s="19" t="s">
        <v>89</v>
      </c>
      <c r="D44" s="14" t="s">
        <v>90</v>
      </c>
      <c r="E44" s="14" t="s">
        <v>94</v>
      </c>
      <c r="F44" s="14" t="s">
        <v>95</v>
      </c>
      <c r="G44" s="14"/>
      <c r="H44" s="14" t="s">
        <v>37</v>
      </c>
      <c r="I44" s="15" t="s">
        <v>24</v>
      </c>
      <c r="J44" s="16">
        <v>46123</v>
      </c>
      <c r="K44" s="16">
        <v>46134</v>
      </c>
      <c r="L44" s="17">
        <v>11</v>
      </c>
      <c r="M44" s="18">
        <v>1</v>
      </c>
      <c r="N44" s="15" t="s">
        <v>25</v>
      </c>
      <c r="O44" s="15" t="s">
        <v>26</v>
      </c>
      <c r="P44" s="14" t="s">
        <v>96</v>
      </c>
      <c r="Q44" s="13" t="str">
        <f t="shared" si="0"/>
        <v/>
      </c>
    </row>
    <row r="45" spans="1:17" ht="45.6" x14ac:dyDescent="0.3">
      <c r="A45" s="4"/>
      <c r="B45" s="21" t="s">
        <v>88</v>
      </c>
      <c r="C45" s="7" t="s">
        <v>89</v>
      </c>
      <c r="D45" s="8" t="s">
        <v>142</v>
      </c>
      <c r="E45" s="8" t="s">
        <v>143</v>
      </c>
      <c r="F45" s="8" t="s">
        <v>144</v>
      </c>
      <c r="G45" s="8" t="s">
        <v>145</v>
      </c>
      <c r="H45" s="8" t="s">
        <v>146</v>
      </c>
      <c r="I45" s="9" t="s">
        <v>26</v>
      </c>
      <c r="J45" s="10">
        <v>46204</v>
      </c>
      <c r="K45" s="10">
        <v>46295</v>
      </c>
      <c r="L45" s="11">
        <v>91</v>
      </c>
      <c r="M45" s="12">
        <v>0</v>
      </c>
      <c r="N45" s="9" t="s">
        <v>42</v>
      </c>
      <c r="O45" s="9" t="s">
        <v>33</v>
      </c>
      <c r="P45" s="8" t="s">
        <v>147</v>
      </c>
      <c r="Q45" s="13" t="str">
        <f>IF(AND(M45&gt;0,M45&lt;1),M45-(ROW()/100000000),"")</f>
        <v/>
      </c>
    </row>
    <row r="46" spans="1:17" ht="57" x14ac:dyDescent="0.3">
      <c r="A46" s="4"/>
      <c r="B46" s="21" t="s">
        <v>88</v>
      </c>
      <c r="C46" s="7" t="s">
        <v>19</v>
      </c>
      <c r="D46" s="8" t="s">
        <v>97</v>
      </c>
      <c r="E46" s="8" t="s">
        <v>98</v>
      </c>
      <c r="F46" s="8" t="s">
        <v>99</v>
      </c>
      <c r="G46" s="8"/>
      <c r="H46" s="8" t="s">
        <v>100</v>
      </c>
      <c r="I46" s="9" t="s">
        <v>24</v>
      </c>
      <c r="J46" s="10">
        <v>46135</v>
      </c>
      <c r="K46" s="10">
        <v>46143</v>
      </c>
      <c r="L46" s="11">
        <v>8</v>
      </c>
      <c r="M46" s="12">
        <v>1</v>
      </c>
      <c r="N46" s="9" t="s">
        <v>25</v>
      </c>
      <c r="O46" s="9" t="s">
        <v>26</v>
      </c>
      <c r="P46" s="8" t="s">
        <v>101</v>
      </c>
      <c r="Q46" s="13" t="str">
        <f t="shared" si="0"/>
        <v/>
      </c>
    </row>
    <row r="47" spans="1:17" ht="45.6" x14ac:dyDescent="0.3">
      <c r="A47" s="4"/>
      <c r="B47" s="22" t="s">
        <v>88</v>
      </c>
      <c r="C47" s="19" t="s">
        <v>19</v>
      </c>
      <c r="D47" s="14" t="s">
        <v>97</v>
      </c>
      <c r="E47" s="14" t="s">
        <v>107</v>
      </c>
      <c r="F47" s="14" t="s">
        <v>108</v>
      </c>
      <c r="G47" s="14"/>
      <c r="H47" s="8" t="s">
        <v>37</v>
      </c>
      <c r="I47" s="15" t="s">
        <v>24</v>
      </c>
      <c r="J47" s="16">
        <v>46152</v>
      </c>
      <c r="K47" s="16">
        <v>46156</v>
      </c>
      <c r="L47" s="17">
        <v>4</v>
      </c>
      <c r="M47" s="18">
        <v>1</v>
      </c>
      <c r="N47" s="15" t="s">
        <v>25</v>
      </c>
      <c r="O47" s="15" t="s">
        <v>26</v>
      </c>
      <c r="P47" s="14" t="s">
        <v>109</v>
      </c>
      <c r="Q47" s="13" t="str">
        <f t="shared" ref="Q47:Q52" si="2">IF(AND(M47&gt;0,M47&lt;1),M47-(ROW()/100000000),"")</f>
        <v/>
      </c>
    </row>
    <row r="48" spans="1:17" ht="68.400000000000006" x14ac:dyDescent="0.3">
      <c r="A48" s="4"/>
      <c r="B48" s="21" t="s">
        <v>88</v>
      </c>
      <c r="C48" s="7" t="s">
        <v>19</v>
      </c>
      <c r="D48" s="8" t="s">
        <v>97</v>
      </c>
      <c r="E48" s="8" t="s">
        <v>110</v>
      </c>
      <c r="F48" s="8" t="s">
        <v>111</v>
      </c>
      <c r="G48" s="8"/>
      <c r="H48" s="8" t="s">
        <v>100</v>
      </c>
      <c r="I48" s="9" t="s">
        <v>24</v>
      </c>
      <c r="J48" s="10">
        <v>46157</v>
      </c>
      <c r="K48" s="10">
        <v>46164</v>
      </c>
      <c r="L48" s="11">
        <v>7</v>
      </c>
      <c r="M48" s="12">
        <v>1</v>
      </c>
      <c r="N48" s="9" t="s">
        <v>25</v>
      </c>
      <c r="O48" s="9" t="s">
        <v>26</v>
      </c>
      <c r="P48" s="8" t="s">
        <v>112</v>
      </c>
      <c r="Q48" s="13" t="str">
        <f t="shared" si="2"/>
        <v/>
      </c>
    </row>
    <row r="49" spans="1:17" ht="34.200000000000003" x14ac:dyDescent="0.3">
      <c r="A49" s="4"/>
      <c r="B49" s="22" t="s">
        <v>88</v>
      </c>
      <c r="C49" s="19" t="s">
        <v>19</v>
      </c>
      <c r="D49" s="14" t="s">
        <v>113</v>
      </c>
      <c r="E49" s="14" t="s">
        <v>114</v>
      </c>
      <c r="F49" s="14" t="s">
        <v>115</v>
      </c>
      <c r="G49" s="14"/>
      <c r="H49" s="14" t="s">
        <v>37</v>
      </c>
      <c r="I49" s="15" t="s">
        <v>33</v>
      </c>
      <c r="J49" s="16">
        <v>46165</v>
      </c>
      <c r="K49" s="16">
        <v>46171</v>
      </c>
      <c r="L49" s="17">
        <v>6</v>
      </c>
      <c r="M49" s="18">
        <v>1</v>
      </c>
      <c r="N49" s="15" t="s">
        <v>25</v>
      </c>
      <c r="O49" s="15" t="s">
        <v>26</v>
      </c>
      <c r="P49" s="14" t="s">
        <v>116</v>
      </c>
      <c r="Q49" s="13" t="str">
        <f t="shared" si="2"/>
        <v/>
      </c>
    </row>
    <row r="50" spans="1:17" ht="34.200000000000003" x14ac:dyDescent="0.3">
      <c r="A50" s="4"/>
      <c r="B50" s="21" t="s">
        <v>88</v>
      </c>
      <c r="C50" s="7" t="s">
        <v>19</v>
      </c>
      <c r="D50" s="8" t="s">
        <v>113</v>
      </c>
      <c r="E50" s="8" t="s">
        <v>117</v>
      </c>
      <c r="F50" s="8" t="s">
        <v>118</v>
      </c>
      <c r="G50" s="8"/>
      <c r="H50" s="8" t="s">
        <v>37</v>
      </c>
      <c r="I50" s="9" t="s">
        <v>33</v>
      </c>
      <c r="J50" s="10">
        <v>46172</v>
      </c>
      <c r="K50" s="10">
        <v>46177</v>
      </c>
      <c r="L50" s="11">
        <v>5</v>
      </c>
      <c r="M50" s="12">
        <v>1</v>
      </c>
      <c r="N50" s="9" t="s">
        <v>25</v>
      </c>
      <c r="O50" s="9" t="s">
        <v>26</v>
      </c>
      <c r="P50" s="8" t="s">
        <v>119</v>
      </c>
      <c r="Q50" s="13" t="str">
        <f t="shared" si="2"/>
        <v/>
      </c>
    </row>
    <row r="51" spans="1:17" ht="22.8" x14ac:dyDescent="0.3">
      <c r="A51" s="4"/>
      <c r="B51" s="22" t="s">
        <v>88</v>
      </c>
      <c r="C51" s="19" t="s">
        <v>19</v>
      </c>
      <c r="D51" s="14" t="s">
        <v>113</v>
      </c>
      <c r="E51" s="14" t="s">
        <v>120</v>
      </c>
      <c r="F51" s="14" t="s">
        <v>121</v>
      </c>
      <c r="G51" s="14"/>
      <c r="H51" s="14" t="s">
        <v>50</v>
      </c>
      <c r="I51" s="15" t="s">
        <v>24</v>
      </c>
      <c r="J51" s="16">
        <v>46178</v>
      </c>
      <c r="K51" s="16">
        <v>46185</v>
      </c>
      <c r="L51" s="17">
        <v>7</v>
      </c>
      <c r="M51" s="18">
        <v>1</v>
      </c>
      <c r="N51" s="15" t="s">
        <v>25</v>
      </c>
      <c r="O51" s="15" t="s">
        <v>26</v>
      </c>
      <c r="P51" s="14" t="s">
        <v>122</v>
      </c>
      <c r="Q51" s="13" t="str">
        <f t="shared" si="2"/>
        <v/>
      </c>
    </row>
    <row r="52" spans="1:17" ht="91.2" x14ac:dyDescent="0.3">
      <c r="A52" s="4"/>
      <c r="B52" s="22" t="s">
        <v>88</v>
      </c>
      <c r="C52" s="19" t="s">
        <v>19</v>
      </c>
      <c r="D52" s="14" t="s">
        <v>137</v>
      </c>
      <c r="E52" s="14" t="s">
        <v>138</v>
      </c>
      <c r="F52" s="14" t="s">
        <v>139</v>
      </c>
      <c r="G52" s="14"/>
      <c r="H52" s="14" t="s">
        <v>140</v>
      </c>
      <c r="I52" s="15" t="s">
        <v>33</v>
      </c>
      <c r="J52" s="16">
        <v>46192</v>
      </c>
      <c r="K52" s="16">
        <v>46192</v>
      </c>
      <c r="L52" s="17">
        <v>0</v>
      </c>
      <c r="M52" s="18">
        <v>1</v>
      </c>
      <c r="N52" s="15" t="s">
        <v>25</v>
      </c>
      <c r="O52" s="15" t="s">
        <v>26</v>
      </c>
      <c r="P52" s="14" t="s">
        <v>141</v>
      </c>
      <c r="Q52" s="13" t="str">
        <f t="shared" si="2"/>
        <v/>
      </c>
    </row>
    <row r="53" spans="1:17" ht="57" x14ac:dyDescent="0.3">
      <c r="A53" s="4"/>
      <c r="B53" s="22" t="s">
        <v>88</v>
      </c>
      <c r="C53" s="19" t="s">
        <v>102</v>
      </c>
      <c r="D53" s="14" t="s">
        <v>97</v>
      </c>
      <c r="E53" s="14" t="s">
        <v>98</v>
      </c>
      <c r="F53" s="14" t="s">
        <v>103</v>
      </c>
      <c r="G53" s="14"/>
      <c r="H53" s="14" t="s">
        <v>100</v>
      </c>
      <c r="I53" s="15" t="s">
        <v>24</v>
      </c>
      <c r="J53" s="16">
        <v>46144</v>
      </c>
      <c r="K53" s="16">
        <v>46150</v>
      </c>
      <c r="L53" s="17">
        <v>6</v>
      </c>
      <c r="M53" s="18">
        <v>1</v>
      </c>
      <c r="N53" s="9" t="s">
        <v>228</v>
      </c>
      <c r="O53" s="15" t="s">
        <v>26</v>
      </c>
      <c r="P53" s="14" t="s">
        <v>104</v>
      </c>
      <c r="Q53" s="13" t="str">
        <f t="shared" si="0"/>
        <v/>
      </c>
    </row>
    <row r="54" spans="1:17" ht="34.200000000000003" x14ac:dyDescent="0.3">
      <c r="A54" s="4"/>
      <c r="B54" s="21" t="s">
        <v>88</v>
      </c>
      <c r="C54" s="7" t="s">
        <v>102</v>
      </c>
      <c r="D54" s="8" t="s">
        <v>97</v>
      </c>
      <c r="E54" s="8" t="s">
        <v>229</v>
      </c>
      <c r="F54" s="8" t="s">
        <v>105</v>
      </c>
      <c r="G54" s="8"/>
      <c r="H54" s="8" t="s">
        <v>37</v>
      </c>
      <c r="I54" s="9" t="s">
        <v>24</v>
      </c>
      <c r="J54" s="10">
        <v>46151</v>
      </c>
      <c r="K54" s="10">
        <v>46151</v>
      </c>
      <c r="L54" s="11">
        <v>10</v>
      </c>
      <c r="M54" s="12">
        <v>0.3</v>
      </c>
      <c r="N54" s="9" t="s">
        <v>228</v>
      </c>
      <c r="O54" s="9" t="s">
        <v>33</v>
      </c>
      <c r="P54" s="8" t="s">
        <v>106</v>
      </c>
      <c r="Q54" s="13">
        <f t="shared" si="0"/>
        <v>0.29999946</v>
      </c>
    </row>
    <row r="55" spans="1:17" ht="22.8" x14ac:dyDescent="0.3">
      <c r="A55" s="4"/>
      <c r="B55" s="21" t="s">
        <v>88</v>
      </c>
      <c r="C55" s="7" t="s">
        <v>132</v>
      </c>
      <c r="D55" s="8" t="s">
        <v>97</v>
      </c>
      <c r="E55" s="8" t="s">
        <v>133</v>
      </c>
      <c r="F55" s="8" t="s">
        <v>134</v>
      </c>
      <c r="G55" s="8"/>
      <c r="H55" s="8" t="s">
        <v>135</v>
      </c>
      <c r="I55" s="9" t="s">
        <v>33</v>
      </c>
      <c r="J55" s="10">
        <v>46192</v>
      </c>
      <c r="K55" s="10">
        <v>46192</v>
      </c>
      <c r="L55" s="11">
        <v>0</v>
      </c>
      <c r="M55" s="12">
        <v>1</v>
      </c>
      <c r="N55" s="9" t="s">
        <v>25</v>
      </c>
      <c r="O55" s="9" t="s">
        <v>26</v>
      </c>
      <c r="P55" s="8" t="s">
        <v>136</v>
      </c>
      <c r="Q55" s="13" t="str">
        <f t="shared" si="0"/>
        <v/>
      </c>
    </row>
    <row r="56" spans="1:17" ht="34.200000000000003" x14ac:dyDescent="0.3">
      <c r="A56" s="4"/>
      <c r="B56" s="21" t="s">
        <v>190</v>
      </c>
      <c r="C56" s="7" t="s">
        <v>89</v>
      </c>
      <c r="D56" s="8" t="s">
        <v>191</v>
      </c>
      <c r="E56" s="8" t="s">
        <v>192</v>
      </c>
      <c r="F56" s="8" t="s">
        <v>193</v>
      </c>
      <c r="G56" s="8"/>
      <c r="H56" s="8" t="s">
        <v>146</v>
      </c>
      <c r="I56" s="9" t="s">
        <v>24</v>
      </c>
      <c r="J56" s="10">
        <v>46171</v>
      </c>
      <c r="K56" s="10">
        <v>46178</v>
      </c>
      <c r="L56" s="11">
        <v>7</v>
      </c>
      <c r="M56" s="12">
        <v>1</v>
      </c>
      <c r="N56" s="9" t="s">
        <v>25</v>
      </c>
      <c r="O56" s="9" t="s">
        <v>26</v>
      </c>
      <c r="P56" s="8" t="s">
        <v>194</v>
      </c>
      <c r="Q56" s="13" t="str">
        <f t="shared" ref="Q56:Q63" si="3">IF(AND(M56&gt;0,M56&lt;1),M56-(ROW()/100000000),"")</f>
        <v/>
      </c>
    </row>
    <row r="57" spans="1:17" ht="45.6" x14ac:dyDescent="0.3">
      <c r="A57" s="4"/>
      <c r="B57" s="22" t="s">
        <v>190</v>
      </c>
      <c r="C57" s="7" t="s">
        <v>89</v>
      </c>
      <c r="D57" s="14" t="s">
        <v>195</v>
      </c>
      <c r="E57" s="14" t="s">
        <v>196</v>
      </c>
      <c r="F57" s="14" t="s">
        <v>197</v>
      </c>
      <c r="G57" s="14" t="s">
        <v>198</v>
      </c>
      <c r="H57" s="14" t="s">
        <v>199</v>
      </c>
      <c r="I57" s="15" t="s">
        <v>24</v>
      </c>
      <c r="J57" s="16">
        <v>46187</v>
      </c>
      <c r="K57" s="16">
        <v>46198</v>
      </c>
      <c r="L57" s="17">
        <v>6</v>
      </c>
      <c r="M57" s="18">
        <v>0.55000000000000004</v>
      </c>
      <c r="N57" s="15" t="s">
        <v>32</v>
      </c>
      <c r="O57" s="15" t="s">
        <v>24</v>
      </c>
      <c r="P57" s="14" t="s">
        <v>200</v>
      </c>
      <c r="Q57" s="13">
        <f t="shared" si="3"/>
        <v>0.54999943000000007</v>
      </c>
    </row>
    <row r="58" spans="1:17" ht="34.200000000000003" x14ac:dyDescent="0.3">
      <c r="A58" s="4"/>
      <c r="B58" s="21" t="s">
        <v>201</v>
      </c>
      <c r="C58" s="7" t="s">
        <v>89</v>
      </c>
      <c r="D58" s="8" t="s">
        <v>20</v>
      </c>
      <c r="E58" s="8" t="s">
        <v>202</v>
      </c>
      <c r="F58" s="8" t="s">
        <v>203</v>
      </c>
      <c r="G58" s="8"/>
      <c r="H58" s="8" t="s">
        <v>37</v>
      </c>
      <c r="I58" s="9" t="s">
        <v>24</v>
      </c>
      <c r="J58" s="10">
        <v>46101</v>
      </c>
      <c r="K58" s="10">
        <v>46106</v>
      </c>
      <c r="L58" s="11">
        <v>5</v>
      </c>
      <c r="M58" s="12">
        <v>1</v>
      </c>
      <c r="N58" s="9" t="s">
        <v>25</v>
      </c>
      <c r="O58" s="9" t="s">
        <v>26</v>
      </c>
      <c r="P58" s="8" t="s">
        <v>204</v>
      </c>
      <c r="Q58" s="13" t="str">
        <f t="shared" si="3"/>
        <v/>
      </c>
    </row>
    <row r="59" spans="1:17" ht="57" x14ac:dyDescent="0.3">
      <c r="A59" s="4"/>
      <c r="B59" s="22" t="s">
        <v>201</v>
      </c>
      <c r="C59" s="7" t="s">
        <v>89</v>
      </c>
      <c r="D59" s="8" t="s">
        <v>20</v>
      </c>
      <c r="E59" s="14" t="s">
        <v>205</v>
      </c>
      <c r="F59" s="14" t="s">
        <v>206</v>
      </c>
      <c r="G59" s="14" t="s">
        <v>207</v>
      </c>
      <c r="H59" s="14" t="s">
        <v>37</v>
      </c>
      <c r="I59" s="15" t="s">
        <v>24</v>
      </c>
      <c r="J59" s="16">
        <v>46122</v>
      </c>
      <c r="K59" s="16">
        <v>46141</v>
      </c>
      <c r="L59" s="17">
        <v>19</v>
      </c>
      <c r="M59" s="18">
        <v>1</v>
      </c>
      <c r="N59" s="15" t="s">
        <v>25</v>
      </c>
      <c r="O59" s="15" t="s">
        <v>33</v>
      </c>
      <c r="P59" s="14" t="s">
        <v>208</v>
      </c>
      <c r="Q59" s="13" t="str">
        <f t="shared" si="3"/>
        <v/>
      </c>
    </row>
    <row r="60" spans="1:17" ht="34.200000000000003" x14ac:dyDescent="0.3">
      <c r="A60" s="4"/>
      <c r="B60" s="21" t="s">
        <v>201</v>
      </c>
      <c r="C60" s="7" t="s">
        <v>89</v>
      </c>
      <c r="D60" s="8" t="s">
        <v>47</v>
      </c>
      <c r="E60" s="8" t="s">
        <v>209</v>
      </c>
      <c r="F60" s="8" t="s">
        <v>210</v>
      </c>
      <c r="G60" s="8"/>
      <c r="H60" s="8" t="s">
        <v>60</v>
      </c>
      <c r="I60" s="9" t="s">
        <v>24</v>
      </c>
      <c r="J60" s="10">
        <v>46142</v>
      </c>
      <c r="K60" s="10">
        <v>46160</v>
      </c>
      <c r="L60" s="11">
        <v>18</v>
      </c>
      <c r="M60" s="12">
        <v>1</v>
      </c>
      <c r="N60" s="9" t="s">
        <v>25</v>
      </c>
      <c r="O60" s="9" t="s">
        <v>26</v>
      </c>
      <c r="P60" s="8" t="s">
        <v>211</v>
      </c>
      <c r="Q60" s="13" t="str">
        <f t="shared" si="3"/>
        <v/>
      </c>
    </row>
    <row r="61" spans="1:17" ht="57" x14ac:dyDescent="0.3">
      <c r="B61" s="22" t="s">
        <v>201</v>
      </c>
      <c r="C61" s="7" t="s">
        <v>89</v>
      </c>
      <c r="D61" s="14" t="s">
        <v>62</v>
      </c>
      <c r="E61" s="14" t="s">
        <v>212</v>
      </c>
      <c r="F61" s="14" t="s">
        <v>213</v>
      </c>
      <c r="G61" s="14"/>
      <c r="H61" s="14" t="s">
        <v>214</v>
      </c>
      <c r="I61" s="15" t="s">
        <v>24</v>
      </c>
      <c r="J61" s="16">
        <v>46161</v>
      </c>
      <c r="K61" s="16">
        <v>46174</v>
      </c>
      <c r="L61" s="17">
        <v>13</v>
      </c>
      <c r="M61" s="18">
        <v>1</v>
      </c>
      <c r="N61" s="15" t="s">
        <v>25</v>
      </c>
      <c r="O61" s="15" t="s">
        <v>26</v>
      </c>
      <c r="P61" s="14" t="s">
        <v>215</v>
      </c>
      <c r="Q61" s="13" t="str">
        <f t="shared" si="3"/>
        <v/>
      </c>
    </row>
    <row r="62" spans="1:17" ht="148.19999999999999" x14ac:dyDescent="0.3">
      <c r="B62" s="21" t="s">
        <v>201</v>
      </c>
      <c r="C62" s="7" t="s">
        <v>89</v>
      </c>
      <c r="D62" s="8" t="s">
        <v>216</v>
      </c>
      <c r="E62" s="8" t="s">
        <v>217</v>
      </c>
      <c r="F62" s="8" t="s">
        <v>218</v>
      </c>
      <c r="G62" s="8" t="s">
        <v>219</v>
      </c>
      <c r="H62" s="8" t="s">
        <v>60</v>
      </c>
      <c r="I62" s="9" t="s">
        <v>24</v>
      </c>
      <c r="J62" s="10">
        <v>46175</v>
      </c>
      <c r="K62" s="10">
        <v>46183</v>
      </c>
      <c r="L62" s="11">
        <v>8</v>
      </c>
      <c r="M62" s="12">
        <v>0.9</v>
      </c>
      <c r="N62" s="9" t="s">
        <v>220</v>
      </c>
      <c r="O62" s="9" t="s">
        <v>24</v>
      </c>
      <c r="P62" s="8" t="s">
        <v>221</v>
      </c>
      <c r="Q62" s="13">
        <f t="shared" si="3"/>
        <v>0.89999938000000002</v>
      </c>
    </row>
    <row r="63" spans="1:17" ht="57" x14ac:dyDescent="0.3">
      <c r="B63" s="22" t="s">
        <v>201</v>
      </c>
      <c r="C63" s="7" t="s">
        <v>89</v>
      </c>
      <c r="D63" s="14" t="s">
        <v>222</v>
      </c>
      <c r="E63" s="14" t="s">
        <v>223</v>
      </c>
      <c r="F63" s="14" t="s">
        <v>224</v>
      </c>
      <c r="G63" s="14" t="s">
        <v>225</v>
      </c>
      <c r="H63" s="14" t="s">
        <v>226</v>
      </c>
      <c r="I63" s="15" t="s">
        <v>33</v>
      </c>
      <c r="J63" s="16">
        <v>46184</v>
      </c>
      <c r="K63" s="16">
        <v>46189</v>
      </c>
      <c r="L63" s="17">
        <v>5</v>
      </c>
      <c r="M63" s="18">
        <v>0</v>
      </c>
      <c r="N63" s="15" t="s">
        <v>220</v>
      </c>
      <c r="O63" s="15" t="s">
        <v>33</v>
      </c>
      <c r="P63" s="14" t="s">
        <v>227</v>
      </c>
      <c r="Q63" s="13" t="str">
        <f t="shared" si="3"/>
        <v/>
      </c>
    </row>
    <row r="64" spans="1:17" x14ac:dyDescent="0.3">
      <c r="B64" s="20"/>
      <c r="C64" s="20"/>
      <c r="D64" s="20"/>
      <c r="E64" s="20"/>
      <c r="F64" s="20"/>
      <c r="G64" s="20"/>
      <c r="H64" s="20"/>
      <c r="I64" s="20"/>
      <c r="J64" s="20"/>
      <c r="K64" s="20"/>
      <c r="L64" s="20"/>
      <c r="M64" s="20"/>
      <c r="N64" s="20"/>
      <c r="O64" s="20"/>
      <c r="P64" s="20"/>
    </row>
    <row r="65" spans="2:16" x14ac:dyDescent="0.3">
      <c r="B65" s="20"/>
      <c r="C65" s="20"/>
      <c r="D65" s="20"/>
      <c r="E65" s="20"/>
      <c r="F65" s="20"/>
      <c r="G65" s="20"/>
      <c r="H65" s="20"/>
      <c r="I65" s="20"/>
      <c r="J65" s="20"/>
      <c r="K65" s="20"/>
      <c r="L65" s="20"/>
      <c r="M65" s="20"/>
      <c r="N65" s="20"/>
      <c r="O65" s="20"/>
      <c r="P65" s="20"/>
    </row>
    <row r="66" spans="2:16" x14ac:dyDescent="0.3">
      <c r="B66" s="20"/>
      <c r="C66" s="20"/>
      <c r="D66" s="20"/>
      <c r="E66" s="20"/>
      <c r="F66" s="20"/>
      <c r="G66" s="20"/>
      <c r="H66" s="20"/>
      <c r="I66" s="20"/>
      <c r="J66" s="20"/>
      <c r="K66" s="20"/>
      <c r="L66" s="20"/>
      <c r="M66" s="20"/>
      <c r="N66" s="20"/>
      <c r="O66" s="20"/>
      <c r="P66" s="20"/>
    </row>
  </sheetData>
  <mergeCells count="2">
    <mergeCell ref="B2:Q2"/>
    <mergeCell ref="B1:Q1"/>
  </mergeCells>
  <conditionalFormatting sqref="M4:M63">
    <cfRule type="colorScale" priority="11">
      <colorScale>
        <cfvo type="num" val="0"/>
        <cfvo type="num" val="0.5"/>
        <cfvo type="num" val="1"/>
        <color rgb="FFFADBD8"/>
        <color rgb="FFFEF9E7"/>
        <color rgb="FFD5F5E3"/>
      </colorScale>
    </cfRule>
  </conditionalFormatting>
  <conditionalFormatting sqref="N4:N63">
    <cfRule type="cellIs" dxfId="8" priority="2" operator="equal">
      <formula>"Completed"</formula>
    </cfRule>
    <cfRule type="cellIs" dxfId="7" priority="3" operator="equal">
      <formula>"On Track"</formula>
    </cfRule>
    <cfRule type="cellIs" dxfId="6" priority="4" operator="equal">
      <formula>"At Risk"</formula>
    </cfRule>
    <cfRule type="cellIs" dxfId="5" priority="5" operator="equal">
      <formula>"Delayed"</formula>
    </cfRule>
    <cfRule type="cellIs" dxfId="4" priority="6" operator="equal">
      <formula>"Blocked"</formula>
    </cfRule>
    <cfRule type="cellIs" dxfId="3" priority="7" operator="equal">
      <formula>"Not Started"</formula>
    </cfRule>
  </conditionalFormatting>
  <conditionalFormatting sqref="O4:O63">
    <cfRule type="cellIs" dxfId="2" priority="8" operator="equal">
      <formula>"High"</formula>
    </cfRule>
    <cfRule type="cellIs" dxfId="1" priority="9" operator="equal">
      <formula>"Medium"</formula>
    </cfRule>
    <cfRule type="cellIs" dxfId="0" priority="10" operator="equal">
      <formula>"Low"</formula>
    </cfRule>
  </conditionalFormatting>
  <pageMargins left="0.3" right="0.3" top="0.4" bottom="0.4" header="0.511811023622047" footer="0.511811023622047"/>
  <pageSetup fitToHeight="0" orientation="landscape"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All Tasks Detail</vt:lpstr>
      <vt:lpstr>'All Tasks Detail'!Print_Area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Kawaljeetsingh Ladhar</dc:creator>
  <cp:lastModifiedBy>Kawaljeetsingh Ladhar</cp:lastModifiedBy>
  <cp:revision>0</cp:revision>
  <dcterms:created xsi:type="dcterms:W3CDTF">2026-06-19T12:27:30Z</dcterms:created>
  <dcterms:modified xsi:type="dcterms:W3CDTF">2026-06-21T00:53:47Z</dcterms:modified>
  <dc:language>en-US</dc:language>
</cp:coreProperties>
</file>